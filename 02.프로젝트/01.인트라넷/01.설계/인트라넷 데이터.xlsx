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A34D73AC-A9FB-40CF-A4E9-22612AF0ABF2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AUTH" sheetId="20" r:id="rId2"/>
    <sheet name="MENU_AUTH" sheetId="21" r:id="rId3"/>
    <sheet name="EMP_AUTH" sheetId="24" r:id="rId4"/>
    <sheet name="EMPINFO" sheetId="22" r:id="rId5"/>
    <sheet name="ORG" sheetId="25" r:id="rId6"/>
    <sheet name="RANK" sheetId="26" r:id="rId7"/>
    <sheet name="COMMCODE" sheetId="23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" i="21" l="1"/>
  <c r="J15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0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9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6" i="8"/>
  <c r="J7" i="8"/>
  <c r="J8" i="8"/>
  <c r="J11" i="8"/>
  <c r="J12" i="8"/>
  <c r="J13" i="8"/>
  <c r="J14" i="8"/>
  <c r="J16" i="8"/>
  <c r="J17" i="8"/>
  <c r="J18" i="8"/>
  <c r="J19" i="8"/>
  <c r="J20" i="8"/>
  <c r="J21" i="8"/>
  <c r="J22" i="8"/>
  <c r="J23" i="8"/>
  <c r="J24" i="8"/>
  <c r="J25" i="8"/>
  <c r="J26" i="8"/>
  <c r="J27" i="8"/>
  <c r="J3" i="8"/>
</calcChain>
</file>

<file path=xl/sharedStrings.xml><?xml version="1.0" encoding="utf-8"?>
<sst xmlns="http://schemas.openxmlformats.org/spreadsheetml/2006/main" count="461" uniqueCount="222">
  <si>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</si>
  <si>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</si>
  <si>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</si>
  <si>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</si>
  <si>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</si>
  <si>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</si>
  <si>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</si>
  <si>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</si>
  <si>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</si>
  <si>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</si>
  <si>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</si>
  <si>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</si>
  <si>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</si>
  <si>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</si>
  <si>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</si>
  <si>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</si>
  <si>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</si>
  <si>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</si>
  <si>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</si>
  <si>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</si>
  <si>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</si>
  <si>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</si>
  <si>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</si>
  <si>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</si>
  <si>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</si>
  <si>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</si>
  <si>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</si>
  <si>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</si>
  <si>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</si>
  <si>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</si>
  <si>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</si>
  <si>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</si>
  <si>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AUTH_CD</t>
    <phoneticPr fontId="1" type="noConversion"/>
  </si>
  <si>
    <t>AUTH_NM</t>
    <phoneticPr fontId="1" type="noConversion"/>
  </si>
  <si>
    <t>AUTH_0001</t>
    <phoneticPr fontId="1" type="noConversion"/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</si>
  <si>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</si>
  <si>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</si>
  <si>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</si>
  <si>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</si>
  <si>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</si>
  <si>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</si>
  <si>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</si>
  <si>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</si>
  <si>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</si>
  <si>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</si>
  <si>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일정관리</t>
  </si>
  <si>
    <t>intrScheInqy1010.do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</si>
  <si>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</si>
  <si>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</si>
  <si>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</si>
  <si>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</si>
  <si>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</si>
  <si>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</si>
  <si>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</si>
  <si>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</si>
  <si>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</si>
  <si>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결재 관리</t>
  </si>
  <si>
    <t>intrTempInqy1010.do</t>
  </si>
  <si>
    <t>사원 관리</t>
  </si>
  <si>
    <t>intrEmpInqy1010.do</t>
  </si>
  <si>
    <t>시스템 관리</t>
  </si>
  <si>
    <t>권한 관리</t>
  </si>
  <si>
    <t>intrAuthInqy1010.do</t>
  </si>
  <si>
    <t>메뉴 권한 부여</t>
  </si>
  <si>
    <t>intrAuthInqy2010.do</t>
  </si>
  <si>
    <t>사용자 권한 부여</t>
  </si>
  <si>
    <t>intrAuthInqy3010.do</t>
  </si>
  <si>
    <t>MENU_0022</t>
  </si>
  <si>
    <t>쿼리 입력</t>
  </si>
  <si>
    <t>intrQueryInqy1010.do</t>
  </si>
  <si>
    <t>MENU_0023</t>
  </si>
  <si>
    <t>MENU</t>
    <phoneticPr fontId="1" type="noConversion"/>
  </si>
  <si>
    <t>AUTH</t>
    <phoneticPr fontId="1" type="noConversion"/>
  </si>
  <si>
    <t>intrProjInqy1010.do</t>
    <phoneticPr fontId="1" type="noConversion"/>
  </si>
  <si>
    <t>AUTH_0002</t>
  </si>
  <si>
    <t>테스트 권한</t>
    <phoneticPr fontId="1" type="noConversion"/>
  </si>
  <si>
    <t>MENU_AUTH</t>
    <phoneticPr fontId="1" type="noConversion"/>
  </si>
  <si>
    <t>EMP_AUTH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</si>
  <si>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</si>
  <si>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</si>
  <si>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</si>
  <si>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</si>
  <si>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</si>
  <si>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</si>
  <si>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</si>
  <si>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</si>
  <si>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</si>
  <si>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</si>
  <si>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</si>
  <si>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</si>
  <si>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</si>
  <si>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</si>
  <si>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</si>
  <si>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</si>
  <si>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</si>
  <si>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</si>
  <si>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</si>
  <si>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</si>
  <si>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</si>
  <si>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</si>
  <si>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</si>
  <si>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</si>
  <si>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</si>
  <si>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</si>
  <si>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</si>
  <si>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</si>
  <si>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</si>
  <si>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</si>
  <si>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</si>
  <si>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</si>
  <si>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</si>
  <si>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</si>
  <si>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</si>
  <si>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</si>
  <si>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</si>
  <si>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</si>
  <si>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</si>
  <si>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</si>
  <si>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</si>
  <si>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</si>
  <si>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</si>
  <si>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</si>
  <si>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</si>
  <si>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</si>
  <si>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</si>
  <si>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</si>
  <si>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</si>
  <si>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</si>
  <si>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</si>
  <si>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</si>
  <si>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</si>
  <si>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</si>
  <si>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</si>
  <si>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</si>
  <si>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</si>
  <si>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</si>
  <si>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</si>
  <si>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</si>
  <si>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</si>
  <si>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</si>
  <si>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</si>
  <si>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</si>
  <si>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</si>
  <si>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</si>
  <si>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</si>
  <si>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</si>
  <si>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</si>
  <si>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</si>
  <si>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N</t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</si>
  <si>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</si>
  <si>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</si>
  <si>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</si>
  <si>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</si>
  <si>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</si>
  <si>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양식 관리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</si>
  <si>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</si>
  <si>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</si>
  <si>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</si>
  <si>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업무일지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</si>
  <si>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</si>
  <si>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</si>
  <si>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</si>
  <si>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</si>
  <si>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</si>
  <si>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</si>
  <si>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</si>
  <si>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</si>
  <si>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</si>
  <si>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</si>
  <si>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</si>
  <si>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USE_0010</t>
    <phoneticPr fontId="1" type="noConversion"/>
  </si>
  <si>
    <t>USE_0020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</si>
  <si>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</si>
  <si>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</si>
  <si>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</si>
  <si>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</si>
  <si>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</si>
  <si>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</si>
  <si>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</si>
  <si>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</si>
  <si>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</si>
  <si>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</si>
  <si>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</si>
  <si>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</si>
  <si>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</si>
  <si>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</si>
  <si>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</si>
  <si>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</si>
  <si>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</si>
  <si>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</si>
  <si>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</si>
  <si>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</si>
  <si>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</si>
  <si>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</si>
  <si>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</si>
  <si>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</si>
  <si>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</si>
  <si>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</si>
  <si>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회의관리</t>
    <phoneticPr fontId="1" type="noConversion"/>
  </si>
  <si>
    <t>USE</t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</si>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</sst>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27"/>
  <sheetViews>
    <sheetView tabSelected="1" workbookViewId="0">
      <selection activeCell="G11" sqref="G11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7" t="s">
        <v>71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40</v>
      </c>
      <c r="B3" s="4">
        <v>0</v>
      </c>
      <c r="C3" s="4" t="s">
        <v>41</v>
      </c>
      <c r="D3" s="4"/>
      <c r="E3" s="4"/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43</v>
      </c>
      <c r="D4" s="4" t="s">
        <v>40</v>
      </c>
      <c r="E4" s="4" t="s">
        <v>44</v>
      </c>
      <c r="F4" s="4" t="s">
        <v>42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198</v>
      </c>
      <c r="D5" s="4" t="s">
        <v>40</v>
      </c>
      <c r="E5" s="4" t="s">
        <v>197</v>
      </c>
      <c r="F5" s="4" t="s">
        <v>42</v>
      </c>
      <c r="G5" s="4">
        <v>3</v>
      </c>
      <c r="H5" s="4"/>
      <c r="J5" s="3" t="str">
        <f t="shared" ref="J5:J27" si="1">"INSERT INTO "&amp;$A$1&amp;" VALUES('"&amp;A5&amp;"','"&amp;B5&amp;"','"&amp;C5&amp;"','"&amp;D5&amp;"','"&amp;E5&amp;"','"&amp;F5&amp;"','"&amp;G5&amp;"','"&amp;H5&amp;"');"</f>
        <v>INSERT INTO MENU VALUES('MENU_0003','0','회의관리','MENU_0001','intrMtgInqy1010.do','Y','3','');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45</v>
      </c>
      <c r="D6" s="4" t="s">
        <v>40</v>
      </c>
      <c r="E6" s="4" t="s">
        <v>46</v>
      </c>
      <c r="F6" s="4" t="s">
        <v>42</v>
      </c>
      <c r="G6" s="4">
        <v>4</v>
      </c>
      <c r="H6" s="4"/>
      <c r="J6" s="3" t="str">
        <f t="shared" si="1"/>
        <v>INSERT INTO MENU VALUES('MENU_0004','0','일정관리','MENU_0001','intrScheInqy1010.do','Y','4','');</v>
      </c>
    </row>
    <row r="7" spans="1:10" x14ac:dyDescent="0.3">
      <c r="A7" s="4" t="s">
        <v>15</v>
      </c>
      <c r="B7" s="4">
        <v>0</v>
      </c>
      <c r="C7" s="4" t="s">
        <v>47</v>
      </c>
      <c r="D7" s="4"/>
      <c r="E7" s="4"/>
      <c r="F7" s="4" t="s">
        <v>42</v>
      </c>
      <c r="G7" s="4">
        <v>5</v>
      </c>
      <c r="H7" s="4"/>
      <c r="J7" s="3" t="str">
        <f t="shared" si="1"/>
        <v>INSERT INTO MENU VALUES('MENU_0005','0','전자결재','','','Y','5','');</v>
      </c>
    </row>
    <row r="8" spans="1:10" x14ac:dyDescent="0.3">
      <c r="A8" s="4" t="s">
        <v>19</v>
      </c>
      <c r="B8" s="4">
        <v>0</v>
      </c>
      <c r="C8" s="4" t="s">
        <v>153</v>
      </c>
      <c r="D8" s="4" t="s">
        <v>15</v>
      </c>
      <c r="E8" s="4" t="s">
        <v>48</v>
      </c>
      <c r="F8" s="4" t="s">
        <v>42</v>
      </c>
      <c r="G8" s="4">
        <v>6</v>
      </c>
      <c r="H8" s="4"/>
      <c r="J8" s="3" t="str">
        <f t="shared" si="1"/>
        <v>INSERT INTO MENU VALUES('MENU_0006','0','기안 작성','MENU_0005','intrAprvInqy1010.do','Y','6','');</v>
      </c>
    </row>
    <row r="9" spans="1:10" x14ac:dyDescent="0.3">
      <c r="A9" s="4" t="s">
        <v>20</v>
      </c>
      <c r="B9" s="4">
        <v>0</v>
      </c>
      <c r="C9" s="4" t="s">
        <v>149</v>
      </c>
      <c r="D9" s="4" t="s">
        <v>15</v>
      </c>
      <c r="E9" s="4" t="s">
        <v>49</v>
      </c>
      <c r="F9" s="4" t="s">
        <v>42</v>
      </c>
      <c r="G9" s="4">
        <v>7</v>
      </c>
      <c r="H9" s="4"/>
      <c r="J9" s="3" t="str">
        <f t="shared" ref="J9" si="2">"INSERT INTO "&amp;$A$1&amp;" VALUES('"&amp;A9&amp;"','"&amp;B9&amp;"','"&amp;C9&amp;"','"&amp;D9&amp;"','"&amp;E9&amp;"','"&amp;F9&amp;"','"&amp;G9&amp;"','"&amp;H9&amp;"');"</f>
        <v>INSERT INTO MENU VALUES('MENU_0007','0','결재 조회','MENU_0005','intrAprvInqy2010.do','Y','7','');</v>
      </c>
    </row>
    <row r="10" spans="1:10" x14ac:dyDescent="0.3">
      <c r="A10" s="4" t="s">
        <v>21</v>
      </c>
      <c r="B10" s="4">
        <v>0</v>
      </c>
      <c r="C10" s="4" t="s">
        <v>158</v>
      </c>
      <c r="D10" s="4"/>
      <c r="E10" s="4"/>
      <c r="F10" s="4" t="s">
        <v>42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VALUES('MENU_0008','0','업무일지','','','Y','8','');</v>
      </c>
    </row>
    <row r="11" spans="1:10" x14ac:dyDescent="0.3">
      <c r="A11" s="4" t="s">
        <v>22</v>
      </c>
      <c r="B11" s="4">
        <v>0</v>
      </c>
      <c r="C11" s="4" t="s">
        <v>157</v>
      </c>
      <c r="D11" s="4" t="s">
        <v>21</v>
      </c>
      <c r="E11" s="4" t="s">
        <v>50</v>
      </c>
      <c r="F11" s="4" t="s">
        <v>42</v>
      </c>
      <c r="G11" s="4">
        <v>9</v>
      </c>
      <c r="H11" s="4"/>
      <c r="J11" s="3" t="str">
        <f t="shared" si="1"/>
        <v>INSERT INTO MENU VALUES('MENU_0009','0','업무일지 작성','MENU_0008','intrTaskInqy1010.do','Y','9','');</v>
      </c>
    </row>
    <row r="12" spans="1:10" x14ac:dyDescent="0.3">
      <c r="A12" s="4" t="s">
        <v>23</v>
      </c>
      <c r="B12" s="4">
        <v>0</v>
      </c>
      <c r="C12" s="4" t="s">
        <v>51</v>
      </c>
      <c r="D12" s="4"/>
      <c r="E12" s="4"/>
      <c r="F12" s="4" t="s">
        <v>42</v>
      </c>
      <c r="G12" s="4">
        <v>10</v>
      </c>
      <c r="H12" s="4"/>
      <c r="J12" s="3" t="str">
        <f t="shared" si="1"/>
        <v>INSERT INTO MENU VALUES('MENU_0010','0','인사정보','','','Y','10','');</v>
      </c>
    </row>
    <row r="13" spans="1:10" x14ac:dyDescent="0.3">
      <c r="A13" s="4" t="s">
        <v>24</v>
      </c>
      <c r="B13" s="4">
        <v>0</v>
      </c>
      <c r="C13" s="4" t="s">
        <v>217</v>
      </c>
      <c r="D13" s="4" t="s">
        <v>23</v>
      </c>
      <c r="E13" s="4" t="s">
        <v>52</v>
      </c>
      <c r="F13" s="4" t="s">
        <v>42</v>
      </c>
      <c r="G13" s="4">
        <v>11</v>
      </c>
      <c r="H13" s="4"/>
      <c r="J13" s="3" t="str">
        <f t="shared" si="1"/>
        <v>INSERT INTO MENU VALUES('MENU_0011','0','사원 조회','MENU_0010','intrEmpInqy2010.do','Y','11','');</v>
      </c>
    </row>
    <row r="14" spans="1:10" x14ac:dyDescent="0.3">
      <c r="A14" s="4" t="s">
        <v>25</v>
      </c>
      <c r="B14" s="4">
        <v>1</v>
      </c>
      <c r="C14" s="4" t="s">
        <v>164</v>
      </c>
      <c r="D14" s="4"/>
      <c r="E14" s="4"/>
      <c r="F14" s="4" t="s">
        <v>42</v>
      </c>
      <c r="G14" s="4">
        <v>12</v>
      </c>
      <c r="H14" s="4"/>
      <c r="J14" s="3" t="str">
        <f t="shared" si="1"/>
        <v>INSERT INTO MENU VALUES('MENU_0012','1','공유정보 관리','','','Y','12','');</v>
      </c>
    </row>
    <row r="15" spans="1:10" x14ac:dyDescent="0.3">
      <c r="A15" s="4" t="s">
        <v>26</v>
      </c>
      <c r="B15" s="4">
        <v>1</v>
      </c>
      <c r="C15" s="4" t="s">
        <v>53</v>
      </c>
      <c r="D15" s="4" t="s">
        <v>25</v>
      </c>
      <c r="E15" s="4" t="s">
        <v>31</v>
      </c>
      <c r="F15" s="4" t="s">
        <v>42</v>
      </c>
      <c r="G15" s="4">
        <v>13</v>
      </c>
      <c r="H15" s="4"/>
      <c r="J15" s="3" t="str">
        <f t="shared" ref="J15" si="4">"INSERT INTO "&amp;$A$1&amp;" VALUES('"&amp;A15&amp;"','"&amp;B15&amp;"','"&amp;C15&amp;"','"&amp;D15&amp;"','"&amp;E15&amp;"','"&amp;F15&amp;"','"&amp;G15&amp;"','"&amp;H15&amp;"');"</f>
        <v>INSERT INTO MENU VALUES('MENU_0013','1','공지사항 관리','MENU_0012','intrBoardInqy1010.do','Y','13','');</v>
      </c>
    </row>
    <row r="16" spans="1:10" x14ac:dyDescent="0.3">
      <c r="A16" s="4" t="s">
        <v>27</v>
      </c>
      <c r="B16" s="4">
        <v>1</v>
      </c>
      <c r="C16" s="4" t="s">
        <v>218</v>
      </c>
      <c r="D16" s="4" t="s">
        <v>25</v>
      </c>
      <c r="E16" s="4" t="s">
        <v>221</v>
      </c>
      <c r="F16" s="4" t="s">
        <v>42</v>
      </c>
      <c r="G16" s="4">
        <v>14</v>
      </c>
      <c r="H16" s="4"/>
      <c r="J16" s="3" t="str">
        <f t="shared" si="1"/>
        <v>INSERT INTO MENU VALUES('MENU_0014','1','배너 관리','MENU_0012','intrBanrInqy1010.do','Y','14','');</v>
      </c>
    </row>
    <row r="17" spans="1:10" x14ac:dyDescent="0.3">
      <c r="A17" s="4" t="s">
        <v>28</v>
      </c>
      <c r="B17" s="4">
        <v>1</v>
      </c>
      <c r="C17" s="4" t="s">
        <v>54</v>
      </c>
      <c r="D17" s="4" t="s">
        <v>25</v>
      </c>
      <c r="E17" s="4" t="s">
        <v>55</v>
      </c>
      <c r="F17" s="4" t="s">
        <v>42</v>
      </c>
      <c r="G17" s="4">
        <v>15</v>
      </c>
      <c r="H17" s="4"/>
      <c r="J17" s="3" t="str">
        <f t="shared" si="1"/>
        <v>INSERT INTO MENU VALUES('MENU_0015','1','업무일지 조회','MENU_0012','intrTaskInqy2010.do','Y','15','');</v>
      </c>
    </row>
    <row r="18" spans="1:10" x14ac:dyDescent="0.3">
      <c r="A18" s="4" t="s">
        <v>29</v>
      </c>
      <c r="B18" s="4">
        <v>1</v>
      </c>
      <c r="C18" s="4" t="s">
        <v>56</v>
      </c>
      <c r="D18" s="4"/>
      <c r="E18" s="4"/>
      <c r="F18" s="4" t="s">
        <v>42</v>
      </c>
      <c r="G18" s="4">
        <v>16</v>
      </c>
      <c r="H18" s="4"/>
      <c r="J18" s="3" t="str">
        <f t="shared" si="1"/>
        <v>INSERT INTO MENU VALUES('MENU_0016','1','결재 관리','','','Y','16','');</v>
      </c>
    </row>
    <row r="19" spans="1:10" x14ac:dyDescent="0.3">
      <c r="A19" s="4" t="s">
        <v>30</v>
      </c>
      <c r="B19" s="4">
        <v>1</v>
      </c>
      <c r="C19" s="4" t="s">
        <v>154</v>
      </c>
      <c r="D19" s="4" t="s">
        <v>29</v>
      </c>
      <c r="E19" s="4" t="s">
        <v>57</v>
      </c>
      <c r="F19" s="4" t="s">
        <v>42</v>
      </c>
      <c r="G19" s="4">
        <v>17</v>
      </c>
      <c r="H19" s="4"/>
      <c r="J19" s="3" t="str">
        <f t="shared" si="1"/>
        <v>INSERT INTO MENU VALUES('MENU_0017','1','양식 관리','MENU_0016','intrTempInqy1010.do','Y','17','');</v>
      </c>
    </row>
    <row r="20" spans="1:10" x14ac:dyDescent="0.3">
      <c r="A20" s="4" t="s">
        <v>36</v>
      </c>
      <c r="B20" s="4">
        <v>1</v>
      </c>
      <c r="C20" s="4" t="s">
        <v>155</v>
      </c>
      <c r="D20" s="4" t="s">
        <v>29</v>
      </c>
      <c r="E20" s="4" t="s">
        <v>73</v>
      </c>
      <c r="F20" s="4" t="s">
        <v>42</v>
      </c>
      <c r="G20" s="4">
        <v>18</v>
      </c>
      <c r="H20" s="4"/>
      <c r="J20" s="3" t="str">
        <f t="shared" si="1"/>
        <v>INSERT INTO MENU VALUES('MENU_0018','1','프로젝트 관리','MENU_0016','intrProjInqy1010.do','Y','18','');</v>
      </c>
    </row>
    <row r="21" spans="1:10" x14ac:dyDescent="0.3">
      <c r="A21" s="4" t="s">
        <v>37</v>
      </c>
      <c r="B21" s="4">
        <v>1</v>
      </c>
      <c r="C21" s="4" t="s">
        <v>51</v>
      </c>
      <c r="D21" s="4"/>
      <c r="E21" s="4"/>
      <c r="F21" s="4" t="s">
        <v>42</v>
      </c>
      <c r="G21" s="4">
        <v>19</v>
      </c>
      <c r="H21" s="4"/>
      <c r="J21" s="3" t="str">
        <f t="shared" si="1"/>
        <v>INSERT INTO MENU VALUES('MENU_0019','1','인사정보','','','Y','19','');</v>
      </c>
    </row>
    <row r="22" spans="1:10" x14ac:dyDescent="0.3">
      <c r="A22" s="4" t="s">
        <v>38</v>
      </c>
      <c r="B22" s="4">
        <v>1</v>
      </c>
      <c r="C22" s="4" t="s">
        <v>58</v>
      </c>
      <c r="D22" s="4" t="s">
        <v>37</v>
      </c>
      <c r="E22" s="4" t="s">
        <v>59</v>
      </c>
      <c r="F22" s="4" t="s">
        <v>42</v>
      </c>
      <c r="G22" s="4">
        <v>20</v>
      </c>
      <c r="H22" s="4"/>
      <c r="J22" s="3" t="str">
        <f t="shared" si="1"/>
        <v>INSERT INTO MENU VALUES('MENU_0020','1','사원 관리','MENU_0019','intrEmpInqy1010.do','Y','20','');</v>
      </c>
    </row>
    <row r="23" spans="1:10" x14ac:dyDescent="0.3">
      <c r="A23" s="4" t="s">
        <v>39</v>
      </c>
      <c r="B23" s="4">
        <v>1</v>
      </c>
      <c r="C23" s="4" t="s">
        <v>60</v>
      </c>
      <c r="D23" s="4"/>
      <c r="E23" s="4"/>
      <c r="F23" s="4" t="s">
        <v>42</v>
      </c>
      <c r="G23" s="4">
        <v>21</v>
      </c>
      <c r="H23" s="4"/>
      <c r="J23" s="3" t="str">
        <f t="shared" si="1"/>
        <v>INSERT INTO MENU VALUES('MENU_0021','1','시스템 관리','','','Y','21','');</v>
      </c>
    </row>
    <row r="24" spans="1:10" x14ac:dyDescent="0.3">
      <c r="A24" s="4" t="s">
        <v>67</v>
      </c>
      <c r="B24" s="4">
        <v>1</v>
      </c>
      <c r="C24" s="4" t="s">
        <v>61</v>
      </c>
      <c r="D24" s="4" t="s">
        <v>39</v>
      </c>
      <c r="E24" s="4" t="s">
        <v>62</v>
      </c>
      <c r="F24" s="4" t="s">
        <v>42</v>
      </c>
      <c r="G24" s="4">
        <v>22</v>
      </c>
      <c r="H24" s="4"/>
      <c r="J24" s="3" t="str">
        <f t="shared" si="1"/>
        <v>INSERT INTO MENU VALUES('MENU_0022','1','권한 관리','MENU_0021','intrAuthInqy1010.do','Y','22','');</v>
      </c>
    </row>
    <row r="25" spans="1:10" x14ac:dyDescent="0.3">
      <c r="A25" s="4" t="s">
        <v>70</v>
      </c>
      <c r="B25" s="4">
        <v>1</v>
      </c>
      <c r="C25" s="4" t="s">
        <v>63</v>
      </c>
      <c r="D25" s="4" t="s">
        <v>39</v>
      </c>
      <c r="E25" s="4" t="s">
        <v>64</v>
      </c>
      <c r="F25" s="4" t="s">
        <v>42</v>
      </c>
      <c r="G25" s="4">
        <v>23</v>
      </c>
      <c r="H25" s="4"/>
      <c r="J25" s="3" t="str">
        <f t="shared" si="1"/>
        <v>INSERT INTO MENU VALUES('MENU_0023','1','메뉴 권한 부여','MENU_0021','intrAuthInqy2010.do','Y','23','');</v>
      </c>
    </row>
    <row r="26" spans="1:10" x14ac:dyDescent="0.3">
      <c r="A26" s="4" t="s">
        <v>156</v>
      </c>
      <c r="B26" s="4">
        <v>1</v>
      </c>
      <c r="C26" s="4" t="s">
        <v>65</v>
      </c>
      <c r="D26" s="4" t="s">
        <v>39</v>
      </c>
      <c r="E26" s="4" t="s">
        <v>66</v>
      </c>
      <c r="F26" s="4" t="s">
        <v>42</v>
      </c>
      <c r="G26" s="4">
        <v>24</v>
      </c>
      <c r="H26" s="4"/>
      <c r="J26" s="3" t="str">
        <f t="shared" si="1"/>
        <v>INSERT INTO MENU VALUES('MENU_0024','1','사용자 권한 부여','MENU_0021','intrAuthInqy3010.do','Y','24','');</v>
      </c>
    </row>
    <row r="27" spans="1:10" x14ac:dyDescent="0.3">
      <c r="A27" s="4" t="s">
        <v>219</v>
      </c>
      <c r="B27" s="4">
        <v>1</v>
      </c>
      <c r="C27" s="4" t="s">
        <v>68</v>
      </c>
      <c r="D27" s="4" t="s">
        <v>39</v>
      </c>
      <c r="E27" s="4" t="s">
        <v>69</v>
      </c>
      <c r="F27" s="4" t="s">
        <v>42</v>
      </c>
      <c r="G27" s="4">
        <v>25</v>
      </c>
      <c r="H27" s="4"/>
      <c r="J27" s="3" t="str">
        <f t="shared" si="1"/>
        <v>INSERT INTO MENU VALUES('MENU_0025','1','쿼리 입력','MENU_0021','intrQueryInqy1010.do','Y','25','');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C19" sqref="C19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72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33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35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AUTH VALUES('AUTH_0001','관리자 권한','Y','1','');</v>
      </c>
    </row>
    <row r="4" spans="1:7" x14ac:dyDescent="0.3">
      <c r="A4" s="4" t="s">
        <v>74</v>
      </c>
      <c r="B4" s="4" t="s">
        <v>75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AUTH VALUES('AUTH_0002','테스트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27"/>
  <sheetViews>
    <sheetView workbookViewId="0">
      <selection activeCell="G17" sqref="G17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76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40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MENU_AUTH VALUES('AUTH_0001','MENU_0001','Y','1','');</v>
      </c>
    </row>
    <row r="4" spans="1:7" x14ac:dyDescent="0.3">
      <c r="A4" s="4" t="s">
        <v>34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MENU_AUTH VALUES('AUTH_0001','MENU_0002','Y','2','');</v>
      </c>
    </row>
    <row r="5" spans="1:7" x14ac:dyDescent="0.3">
      <c r="A5" s="4" t="s">
        <v>34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MENU_AUTH VALUES('AUTH_0001','MENU_0003','Y','3','');</v>
      </c>
    </row>
    <row r="6" spans="1:7" x14ac:dyDescent="0.3">
      <c r="A6" s="4" t="s">
        <v>34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MENU_AUTH VALUES('AUTH_0001','MENU_0004','Y','4','');</v>
      </c>
    </row>
    <row r="7" spans="1:7" x14ac:dyDescent="0.3">
      <c r="A7" s="4" t="s">
        <v>34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MENU_AUTH VALUES('AUTH_0001','MENU_0005','Y','5','');</v>
      </c>
    </row>
    <row r="8" spans="1:7" x14ac:dyDescent="0.3">
      <c r="A8" s="4" t="s">
        <v>34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MENU_AUTH VALUES('AUTH_0001','MENU_0006','Y','6','');</v>
      </c>
    </row>
    <row r="9" spans="1:7" x14ac:dyDescent="0.3">
      <c r="A9" s="4" t="s">
        <v>34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MENU_AUTH VALUES('AUTH_0001','MENU_0007','Y','7','');</v>
      </c>
    </row>
    <row r="10" spans="1:7" x14ac:dyDescent="0.3">
      <c r="A10" s="4" t="s">
        <v>34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MENU_AUTH VALUES('AUTH_0001','MENU_0008','Y','8','');</v>
      </c>
    </row>
    <row r="11" spans="1:7" x14ac:dyDescent="0.3">
      <c r="A11" s="4" t="s">
        <v>34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MENU_AUTH VALUES('AUTH_0001','MENU_0009','Y','9','');</v>
      </c>
    </row>
    <row r="12" spans="1:7" x14ac:dyDescent="0.3">
      <c r="A12" s="4" t="s">
        <v>34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MENU_AUTH VALUES('AUTH_0001','MENU_0010','Y','10','');</v>
      </c>
    </row>
    <row r="13" spans="1:7" x14ac:dyDescent="0.3">
      <c r="A13" s="4" t="s">
        <v>34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MENU_AUTH VALUES('AUTH_0001','MENU_0011','Y','11','');</v>
      </c>
    </row>
    <row r="14" spans="1:7" x14ac:dyDescent="0.3">
      <c r="A14" s="4" t="s">
        <v>34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MENU_AUTH VALUES('AUTH_0001','MENU_0012','Y','12','');</v>
      </c>
    </row>
    <row r="15" spans="1:7" x14ac:dyDescent="0.3">
      <c r="A15" s="4" t="s">
        <v>34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MENU_AUTH VALUES('AUTH_0001','MENU_0013','Y','13','');</v>
      </c>
    </row>
    <row r="16" spans="1:7" x14ac:dyDescent="0.3">
      <c r="A16" s="4" t="s">
        <v>34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MENU_AUTH VALUES('AUTH_0001','MENU_0014','Y','14','');</v>
      </c>
    </row>
    <row r="17" spans="1:7" x14ac:dyDescent="0.3">
      <c r="A17" s="4" t="s">
        <v>34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MENU_AUTH VALUES('AUTH_0001','MENU_0015','Y','15','');</v>
      </c>
    </row>
    <row r="18" spans="1:7" x14ac:dyDescent="0.3">
      <c r="A18" s="4" t="s">
        <v>34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MENU_AUTH VALUES('AUTH_0001','MENU_0016','Y','16','');</v>
      </c>
    </row>
    <row r="19" spans="1:7" x14ac:dyDescent="0.3">
      <c r="A19" s="4" t="s">
        <v>34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MENU_AUTH VALUES('AUTH_0001','MENU_0017','Y','17','');</v>
      </c>
    </row>
    <row r="20" spans="1:7" x14ac:dyDescent="0.3">
      <c r="A20" s="4" t="s">
        <v>34</v>
      </c>
      <c r="B20" s="4" t="s">
        <v>36</v>
      </c>
      <c r="C20" s="4" t="s">
        <v>14</v>
      </c>
      <c r="D20" s="4">
        <v>18</v>
      </c>
      <c r="E20" s="4"/>
      <c r="G20" s="3" t="str">
        <f t="shared" si="0"/>
        <v>INSERT INTO MENU_AUTH VALUES('AUTH_0001','MENU_0018','Y','18','');</v>
      </c>
    </row>
    <row r="21" spans="1:7" x14ac:dyDescent="0.3">
      <c r="A21" s="4" t="s">
        <v>34</v>
      </c>
      <c r="B21" s="4" t="s">
        <v>37</v>
      </c>
      <c r="C21" s="4" t="s">
        <v>14</v>
      </c>
      <c r="D21" s="4">
        <v>19</v>
      </c>
      <c r="E21" s="4"/>
      <c r="G21" s="3" t="str">
        <f t="shared" si="0"/>
        <v>INSERT INTO MENU_AUTH VALUES('AUTH_0001','MENU_0019','Y','19','');</v>
      </c>
    </row>
    <row r="22" spans="1:7" x14ac:dyDescent="0.3">
      <c r="A22" s="4" t="s">
        <v>34</v>
      </c>
      <c r="B22" s="4" t="s">
        <v>38</v>
      </c>
      <c r="C22" s="4" t="s">
        <v>14</v>
      </c>
      <c r="D22" s="4">
        <v>20</v>
      </c>
      <c r="E22" s="4"/>
      <c r="G22" s="3" t="str">
        <f t="shared" si="0"/>
        <v>INSERT INTO MENU_AUTH VALUES('AUTH_0001','MENU_0020','Y','20','');</v>
      </c>
    </row>
    <row r="23" spans="1:7" x14ac:dyDescent="0.3">
      <c r="A23" s="4" t="s">
        <v>34</v>
      </c>
      <c r="B23" s="4" t="s">
        <v>39</v>
      </c>
      <c r="C23" s="4" t="s">
        <v>14</v>
      </c>
      <c r="D23" s="4">
        <v>21</v>
      </c>
      <c r="E23" s="4"/>
      <c r="G23" s="3" t="str">
        <f t="shared" si="0"/>
        <v>INSERT INTO MENU_AUTH VALUES('AUTH_0001','MENU_0021','Y','21','');</v>
      </c>
    </row>
    <row r="24" spans="1:7" x14ac:dyDescent="0.3">
      <c r="A24" s="4" t="s">
        <v>34</v>
      </c>
      <c r="B24" s="4" t="s">
        <v>67</v>
      </c>
      <c r="C24" s="4" t="s">
        <v>14</v>
      </c>
      <c r="D24" s="4">
        <v>22</v>
      </c>
      <c r="E24" s="4"/>
      <c r="G24" s="3" t="str">
        <f t="shared" si="0"/>
        <v>INSERT INTO MENU_AUTH VALUES('AUTH_0001','MENU_0022','Y','22','');</v>
      </c>
    </row>
    <row r="25" spans="1:7" x14ac:dyDescent="0.3">
      <c r="A25" s="4" t="s">
        <v>34</v>
      </c>
      <c r="B25" s="4" t="s">
        <v>70</v>
      </c>
      <c r="C25" s="4" t="s">
        <v>14</v>
      </c>
      <c r="D25" s="4">
        <v>23</v>
      </c>
      <c r="E25" s="4"/>
      <c r="G25" s="3" t="str">
        <f t="shared" si="0"/>
        <v>INSERT INTO MENU_AUTH VALUES('AUTH_0001','MENU_0023','Y','23','');</v>
      </c>
    </row>
    <row r="26" spans="1:7" x14ac:dyDescent="0.3">
      <c r="A26" s="4" t="s">
        <v>34</v>
      </c>
      <c r="B26" s="4" t="s">
        <v>156</v>
      </c>
      <c r="C26" s="4" t="s">
        <v>14</v>
      </c>
      <c r="D26" s="4">
        <v>24</v>
      </c>
      <c r="E26" s="4"/>
      <c r="G26" s="3" t="str">
        <f t="shared" si="0"/>
        <v>INSERT INTO MENU_AUTH VALUES('AUTH_0001','MENU_0024','Y','24','');</v>
      </c>
    </row>
    <row r="27" spans="1:7" x14ac:dyDescent="0.3">
      <c r="A27" s="4" t="s">
        <v>34</v>
      </c>
      <c r="B27" s="4" t="s">
        <v>220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MENU_AUTH VALUES('AUTH_0001','MENU_0025','Y','25','');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J7" sqref="J7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77</v>
      </c>
      <c r="B1" s="7"/>
      <c r="C1" s="7"/>
      <c r="D1" s="7"/>
      <c r="E1" s="7"/>
    </row>
    <row r="2" spans="1:7" s="1" customFormat="1" x14ac:dyDescent="0.3">
      <c r="A2" s="6" t="s">
        <v>32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34</v>
      </c>
      <c r="B3" s="4" t="s">
        <v>216</v>
      </c>
      <c r="C3" s="4" t="s">
        <v>42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EMP_AUTH VALUES('AUTH_0001','EMP_0001','Y','1','');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C4" sqref="C4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7" t="s">
        <v>78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5" s="1" customFormat="1" x14ac:dyDescent="0.3">
      <c r="A2" s="6" t="s">
        <v>0</v>
      </c>
      <c r="B2" s="6" t="s">
        <v>79</v>
      </c>
      <c r="C2" s="6" t="s">
        <v>80</v>
      </c>
      <c r="D2" s="6" t="s">
        <v>1</v>
      </c>
      <c r="E2" s="6" t="s">
        <v>81</v>
      </c>
      <c r="F2" s="6" t="s">
        <v>82</v>
      </c>
      <c r="G2" s="6" t="s">
        <v>83</v>
      </c>
      <c r="H2" s="6" t="s">
        <v>84</v>
      </c>
      <c r="I2" s="6" t="s">
        <v>85</v>
      </c>
      <c r="J2" s="6" t="s">
        <v>2</v>
      </c>
      <c r="K2" s="6" t="s">
        <v>3</v>
      </c>
      <c r="L2" s="6" t="s">
        <v>86</v>
      </c>
      <c r="M2" s="6" t="s">
        <v>87</v>
      </c>
    </row>
    <row r="3" spans="1:15" x14ac:dyDescent="0.3">
      <c r="A3" s="4" t="s">
        <v>88</v>
      </c>
      <c r="B3" s="4" t="s">
        <v>89</v>
      </c>
      <c r="C3" s="4" t="s">
        <v>90</v>
      </c>
      <c r="D3" s="4" t="s">
        <v>91</v>
      </c>
      <c r="E3" s="4" t="s">
        <v>42</v>
      </c>
      <c r="F3" s="5" t="s">
        <v>93</v>
      </c>
      <c r="G3" s="4"/>
      <c r="H3" s="4"/>
      <c r="I3" s="4" t="s">
        <v>92</v>
      </c>
      <c r="J3" s="4" t="s">
        <v>91</v>
      </c>
      <c r="K3" s="4" t="s">
        <v>91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E3" sqref="E3:E15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7" t="s">
        <v>94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79</v>
      </c>
      <c r="B2" s="6" t="s">
        <v>95</v>
      </c>
      <c r="C2" s="6" t="s">
        <v>96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89</v>
      </c>
      <c r="B3" s="4" t="s">
        <v>130</v>
      </c>
      <c r="C3" s="4"/>
      <c r="D3" s="4">
        <v>20230814</v>
      </c>
      <c r="E3" s="5" t="s">
        <v>100</v>
      </c>
      <c r="F3" s="4" t="s">
        <v>42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97</v>
      </c>
      <c r="B4" s="4" t="s">
        <v>129</v>
      </c>
      <c r="C4" s="4"/>
      <c r="D4" s="4">
        <v>20230814</v>
      </c>
      <c r="E4" s="5" t="s">
        <v>100</v>
      </c>
      <c r="F4" s="4" t="s">
        <v>42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98</v>
      </c>
      <c r="B5" s="4" t="s">
        <v>131</v>
      </c>
      <c r="C5" s="4"/>
      <c r="D5" s="4">
        <v>20230814</v>
      </c>
      <c r="E5" s="5" t="s">
        <v>100</v>
      </c>
      <c r="F5" s="4" t="s">
        <v>42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99</v>
      </c>
      <c r="B6" s="4" t="s">
        <v>132</v>
      </c>
      <c r="C6" s="4"/>
      <c r="D6" s="4">
        <v>20230814</v>
      </c>
      <c r="E6" s="5" t="s">
        <v>100</v>
      </c>
      <c r="F6" s="4" t="s">
        <v>42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122</v>
      </c>
      <c r="B7" s="4" t="s">
        <v>133</v>
      </c>
      <c r="C7" s="4"/>
      <c r="D7" s="4">
        <v>20230814</v>
      </c>
      <c r="E7" s="5" t="s">
        <v>100</v>
      </c>
      <c r="F7" s="4" t="s">
        <v>42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123</v>
      </c>
      <c r="B8" s="4" t="s">
        <v>134</v>
      </c>
      <c r="C8" s="4"/>
      <c r="D8" s="4">
        <v>20230814</v>
      </c>
      <c r="E8" s="5" t="s">
        <v>100</v>
      </c>
      <c r="F8" s="4" t="s">
        <v>42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124</v>
      </c>
      <c r="B9" s="4" t="s">
        <v>135</v>
      </c>
      <c r="C9" s="4"/>
      <c r="D9" s="4">
        <v>20230814</v>
      </c>
      <c r="E9" s="5" t="s">
        <v>100</v>
      </c>
      <c r="F9" s="4" t="s">
        <v>42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125</v>
      </c>
      <c r="B10" s="4" t="s">
        <v>136</v>
      </c>
      <c r="C10" s="4"/>
      <c r="D10" s="4">
        <v>20230814</v>
      </c>
      <c r="E10" s="5" t="s">
        <v>100</v>
      </c>
      <c r="F10" s="4" t="s">
        <v>42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126</v>
      </c>
      <c r="B11" s="4" t="s">
        <v>137</v>
      </c>
      <c r="C11" s="4"/>
      <c r="D11" s="4">
        <v>20230814</v>
      </c>
      <c r="E11" s="5" t="s">
        <v>100</v>
      </c>
      <c r="F11" s="4" t="s">
        <v>42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127</v>
      </c>
      <c r="B12" s="4" t="s">
        <v>138</v>
      </c>
      <c r="C12" s="4"/>
      <c r="D12" s="4">
        <v>20230814</v>
      </c>
      <c r="E12" s="5" t="s">
        <v>100</v>
      </c>
      <c r="F12" s="4" t="s">
        <v>42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128</v>
      </c>
      <c r="B13" s="4" t="s">
        <v>139</v>
      </c>
      <c r="C13" s="4"/>
      <c r="D13" s="4">
        <v>20230814</v>
      </c>
      <c r="E13" s="5" t="s">
        <v>100</v>
      </c>
      <c r="F13" s="4" t="s">
        <v>42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142</v>
      </c>
      <c r="B14" s="4" t="s">
        <v>140</v>
      </c>
      <c r="C14" s="4"/>
      <c r="D14" s="4">
        <v>20230814</v>
      </c>
      <c r="E14" s="5" t="s">
        <v>100</v>
      </c>
      <c r="F14" s="4" t="s">
        <v>42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143</v>
      </c>
      <c r="B15" s="4" t="s">
        <v>141</v>
      </c>
      <c r="C15" s="4"/>
      <c r="D15" s="4">
        <v>20230814</v>
      </c>
      <c r="E15" s="5" t="s">
        <v>100</v>
      </c>
      <c r="F15" s="4" t="s">
        <v>42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7" t="s">
        <v>101</v>
      </c>
      <c r="B1" s="7"/>
      <c r="C1" s="7"/>
      <c r="D1" s="7"/>
      <c r="E1" s="7"/>
      <c r="F1" s="7"/>
      <c r="G1" s="7"/>
    </row>
    <row r="2" spans="1:9" s="1" customFormat="1" x14ac:dyDescent="0.3">
      <c r="A2" s="6" t="s">
        <v>80</v>
      </c>
      <c r="B2" s="6" t="s">
        <v>105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90</v>
      </c>
      <c r="B3" s="4" t="s">
        <v>102</v>
      </c>
      <c r="C3" s="4">
        <v>20230814</v>
      </c>
      <c r="D3" s="5" t="s">
        <v>100</v>
      </c>
      <c r="E3" s="4" t="s">
        <v>42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103</v>
      </c>
      <c r="B4" s="4" t="s">
        <v>106</v>
      </c>
      <c r="C4" s="4">
        <v>20230814</v>
      </c>
      <c r="D4" s="5" t="s">
        <v>100</v>
      </c>
      <c r="E4" s="4" t="s">
        <v>42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104</v>
      </c>
      <c r="B5" s="4" t="s">
        <v>107</v>
      </c>
      <c r="C5" s="4">
        <v>20230814</v>
      </c>
      <c r="D5" s="5" t="s">
        <v>100</v>
      </c>
      <c r="E5" s="4" t="s">
        <v>42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115</v>
      </c>
      <c r="B6" s="4" t="s">
        <v>109</v>
      </c>
      <c r="C6" s="4">
        <v>20230814</v>
      </c>
      <c r="D6" s="5" t="s">
        <v>100</v>
      </c>
      <c r="E6" s="4" t="s">
        <v>42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116</v>
      </c>
      <c r="B7" s="4" t="s">
        <v>108</v>
      </c>
      <c r="C7" s="4">
        <v>20230814</v>
      </c>
      <c r="D7" s="5" t="s">
        <v>100</v>
      </c>
      <c r="E7" s="4" t="s">
        <v>42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117</v>
      </c>
      <c r="B8" s="4" t="s">
        <v>111</v>
      </c>
      <c r="C8" s="4">
        <v>20230814</v>
      </c>
      <c r="D8" s="5" t="s">
        <v>100</v>
      </c>
      <c r="E8" s="4" t="s">
        <v>42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118</v>
      </c>
      <c r="B9" s="4" t="s">
        <v>110</v>
      </c>
      <c r="C9" s="4">
        <v>20230814</v>
      </c>
      <c r="D9" s="5" t="s">
        <v>100</v>
      </c>
      <c r="E9" s="4" t="s">
        <v>42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119</v>
      </c>
      <c r="B10" s="4" t="s">
        <v>112</v>
      </c>
      <c r="C10" s="4">
        <v>20230814</v>
      </c>
      <c r="D10" s="5" t="s">
        <v>100</v>
      </c>
      <c r="E10" s="4" t="s">
        <v>42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120</v>
      </c>
      <c r="B11" s="4" t="s">
        <v>113</v>
      </c>
      <c r="C11" s="4">
        <v>20230814</v>
      </c>
      <c r="D11" s="5" t="s">
        <v>100</v>
      </c>
      <c r="E11" s="4" t="s">
        <v>42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121</v>
      </c>
      <c r="B12" s="4" t="s">
        <v>114</v>
      </c>
      <c r="C12" s="4">
        <v>20230814</v>
      </c>
      <c r="D12" s="5" t="s">
        <v>100</v>
      </c>
      <c r="E12" s="4" t="s">
        <v>42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27"/>
  <sheetViews>
    <sheetView workbookViewId="0">
      <selection activeCell="F16" sqref="F16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7" t="s">
        <v>144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145</v>
      </c>
      <c r="B2" s="6" t="s">
        <v>146</v>
      </c>
      <c r="C2" s="6" t="s">
        <v>147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170</v>
      </c>
      <c r="B3" s="4" t="s">
        <v>42</v>
      </c>
      <c r="C3" s="4" t="s">
        <v>199</v>
      </c>
      <c r="D3" s="4">
        <v>20250520</v>
      </c>
      <c r="E3" s="4">
        <v>80516</v>
      </c>
      <c r="F3" s="4" t="s">
        <v>42</v>
      </c>
      <c r="G3" s="4">
        <v>1</v>
      </c>
      <c r="H3" s="4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VALUES('USE_0010','Y','USE','20250520','80516','Y','1','');</v>
      </c>
    </row>
    <row r="4" spans="1:10" x14ac:dyDescent="0.3">
      <c r="A4" s="4" t="s">
        <v>171</v>
      </c>
      <c r="B4" s="4" t="s">
        <v>148</v>
      </c>
      <c r="C4" s="4" t="s">
        <v>199</v>
      </c>
      <c r="D4" s="4">
        <v>20250520</v>
      </c>
      <c r="E4" s="4">
        <v>80525</v>
      </c>
      <c r="F4" s="4" t="s">
        <v>42</v>
      </c>
      <c r="G4" s="4">
        <v>2</v>
      </c>
      <c r="H4" s="4"/>
      <c r="J4" s="3" t="str">
        <f t="shared" si="0"/>
        <v>INSERT INTO COMMCODE VALUES('USE_0020','N','USE','20250520','80525','Y','2','');</v>
      </c>
    </row>
    <row r="5" spans="1:10" x14ac:dyDescent="0.3">
      <c r="A5" s="4" t="s">
        <v>172</v>
      </c>
      <c r="B5" s="4" t="s">
        <v>150</v>
      </c>
      <c r="C5" s="4" t="s">
        <v>206</v>
      </c>
      <c r="D5" s="4">
        <v>20250520</v>
      </c>
      <c r="E5" s="4">
        <v>80525</v>
      </c>
      <c r="F5" s="4" t="s">
        <v>42</v>
      </c>
      <c r="G5" s="4">
        <v>1</v>
      </c>
      <c r="H5" s="4"/>
      <c r="J5" s="3" t="str">
        <f t="shared" si="0"/>
        <v>INSERT INTO COMMCODE VALUES('STAT_0010','진행','STAT','20250520','80525','Y','1','');</v>
      </c>
    </row>
    <row r="6" spans="1:10" x14ac:dyDescent="0.3">
      <c r="A6" s="4" t="s">
        <v>173</v>
      </c>
      <c r="B6" s="4" t="s">
        <v>151</v>
      </c>
      <c r="C6" s="4" t="s">
        <v>200</v>
      </c>
      <c r="D6" s="4">
        <v>20250520</v>
      </c>
      <c r="E6" s="4">
        <v>80525</v>
      </c>
      <c r="F6" s="4" t="s">
        <v>42</v>
      </c>
      <c r="G6" s="4">
        <v>2</v>
      </c>
      <c r="H6" s="4"/>
      <c r="J6" s="3" t="str">
        <f t="shared" si="0"/>
        <v>INSERT INTO COMMCODE VALUES('STAT_0020','완료','STAT','20250520','80525','Y','2','');</v>
      </c>
    </row>
    <row r="7" spans="1:10" x14ac:dyDescent="0.3">
      <c r="A7" s="4" t="s">
        <v>174</v>
      </c>
      <c r="B7" s="4" t="s">
        <v>152</v>
      </c>
      <c r="C7" s="4" t="s">
        <v>200</v>
      </c>
      <c r="D7" s="4">
        <v>20250520</v>
      </c>
      <c r="E7" s="4">
        <v>80525</v>
      </c>
      <c r="F7" s="4" t="s">
        <v>42</v>
      </c>
      <c r="G7" s="4">
        <v>3</v>
      </c>
      <c r="H7" s="4"/>
      <c r="J7" s="3" t="str">
        <f t="shared" si="0"/>
        <v>INSERT INTO COMMCODE VALUES('STAT_0030','보류','STAT','20250520','80525','Y','3','');</v>
      </c>
    </row>
    <row r="8" spans="1:10" x14ac:dyDescent="0.3">
      <c r="A8" s="4" t="s">
        <v>175</v>
      </c>
      <c r="B8" s="4" t="s">
        <v>159</v>
      </c>
      <c r="C8" s="4" t="s">
        <v>201</v>
      </c>
      <c r="D8" s="4">
        <v>20250520</v>
      </c>
      <c r="E8" s="4">
        <v>80525</v>
      </c>
      <c r="F8" s="4" t="s">
        <v>42</v>
      </c>
      <c r="G8" s="4">
        <v>1</v>
      </c>
      <c r="H8" s="4"/>
      <c r="J8" s="3" t="str">
        <f t="shared" si="0"/>
        <v>INSERT INTO COMMCODE VALUES('LEAV_0010','연차','LEAV','20250520','80525','Y','1','');</v>
      </c>
    </row>
    <row r="9" spans="1:10" x14ac:dyDescent="0.3">
      <c r="A9" s="4" t="s">
        <v>176</v>
      </c>
      <c r="B9" s="4" t="s">
        <v>160</v>
      </c>
      <c r="C9" s="4" t="s">
        <v>201</v>
      </c>
      <c r="D9" s="4">
        <v>20250520</v>
      </c>
      <c r="E9" s="4">
        <v>80525</v>
      </c>
      <c r="F9" s="4" t="s">
        <v>42</v>
      </c>
      <c r="G9" s="4">
        <v>2</v>
      </c>
      <c r="H9" s="4"/>
      <c r="J9" s="3" t="str">
        <f t="shared" si="0"/>
        <v>INSERT INTO COMMCODE VALUES('LEAV_0020','병가','LEAV','20250520','80525','Y','2','');</v>
      </c>
    </row>
    <row r="10" spans="1:10" x14ac:dyDescent="0.3">
      <c r="A10" s="4" t="s">
        <v>177</v>
      </c>
      <c r="B10" s="4" t="s">
        <v>161</v>
      </c>
      <c r="C10" s="4" t="s">
        <v>201</v>
      </c>
      <c r="D10" s="4">
        <v>20250520</v>
      </c>
      <c r="E10" s="4">
        <v>80525</v>
      </c>
      <c r="F10" s="4" t="s">
        <v>42</v>
      </c>
      <c r="G10" s="4">
        <v>3</v>
      </c>
      <c r="H10" s="4"/>
      <c r="J10" s="3" t="str">
        <f t="shared" si="0"/>
        <v>INSERT INTO COMMCODE VALUES('LEAV_0030','경조휴가','LEAV','20250520','80525','Y','3','');</v>
      </c>
    </row>
    <row r="11" spans="1:10" x14ac:dyDescent="0.3">
      <c r="A11" s="4" t="s">
        <v>178</v>
      </c>
      <c r="B11" s="4" t="s">
        <v>162</v>
      </c>
      <c r="C11" s="4" t="s">
        <v>201</v>
      </c>
      <c r="D11" s="4">
        <v>20250520</v>
      </c>
      <c r="E11" s="4">
        <v>80525</v>
      </c>
      <c r="F11" s="4" t="s">
        <v>42</v>
      </c>
      <c r="G11" s="4">
        <v>4</v>
      </c>
      <c r="H11" s="4"/>
      <c r="J11" s="3" t="str">
        <f t="shared" si="0"/>
        <v>INSERT INTO COMMCODE VALUES('LEAV_0040','반차','LEAV','20250520','80525','Y','4','');</v>
      </c>
    </row>
    <row r="12" spans="1:10" x14ac:dyDescent="0.3">
      <c r="A12" s="4" t="s">
        <v>179</v>
      </c>
      <c r="B12" s="4" t="s">
        <v>163</v>
      </c>
      <c r="C12" s="4" t="s">
        <v>201</v>
      </c>
      <c r="D12" s="4">
        <v>20250520</v>
      </c>
      <c r="E12" s="4">
        <v>80525</v>
      </c>
      <c r="F12" s="4" t="s">
        <v>42</v>
      </c>
      <c r="G12" s="4">
        <v>5</v>
      </c>
      <c r="H12" s="4"/>
      <c r="J12" s="3" t="str">
        <f t="shared" si="0"/>
        <v>INSERT INTO COMMCODE VALUES('LEAV_0050','기타','LEAV','20250520','80525','Y','5','');</v>
      </c>
    </row>
    <row r="13" spans="1:10" x14ac:dyDescent="0.3">
      <c r="A13" s="4" t="s">
        <v>180</v>
      </c>
      <c r="B13" s="4" t="s">
        <v>165</v>
      </c>
      <c r="C13" s="4" t="s">
        <v>202</v>
      </c>
      <c r="D13" s="4">
        <v>20250520</v>
      </c>
      <c r="E13" s="4">
        <v>80525</v>
      </c>
      <c r="F13" s="4" t="s">
        <v>42</v>
      </c>
      <c r="G13" s="4">
        <v>1</v>
      </c>
      <c r="H13" s="4"/>
      <c r="J13" s="3" t="str">
        <f t="shared" si="0"/>
        <v>INSERT INTO COMMCODE VALUES('PAY_0010','현금','PAY','20250520','80525','Y','1','');</v>
      </c>
    </row>
    <row r="14" spans="1:10" x14ac:dyDescent="0.3">
      <c r="A14" s="4" t="s">
        <v>181</v>
      </c>
      <c r="B14" s="4" t="s">
        <v>166</v>
      </c>
      <c r="C14" s="4" t="s">
        <v>202</v>
      </c>
      <c r="D14" s="4">
        <v>20250520</v>
      </c>
      <c r="E14" s="4">
        <v>80525</v>
      </c>
      <c r="F14" s="4" t="s">
        <v>42</v>
      </c>
      <c r="G14" s="4">
        <v>2</v>
      </c>
      <c r="H14" s="4"/>
      <c r="J14" s="3" t="str">
        <f t="shared" si="0"/>
        <v>INSERT INTO COMMCODE VALUES('PAY_0020','개인카드','PAY','20250520','80525','Y','2','');</v>
      </c>
    </row>
    <row r="15" spans="1:10" x14ac:dyDescent="0.3">
      <c r="A15" s="4" t="s">
        <v>182</v>
      </c>
      <c r="B15" s="4" t="s">
        <v>167</v>
      </c>
      <c r="C15" s="4" t="s">
        <v>202</v>
      </c>
      <c r="D15" s="4">
        <v>20250520</v>
      </c>
      <c r="E15" s="4">
        <v>80525</v>
      </c>
      <c r="F15" s="4" t="s">
        <v>42</v>
      </c>
      <c r="G15" s="4">
        <v>3</v>
      </c>
      <c r="H15" s="4"/>
      <c r="J15" s="3" t="str">
        <f t="shared" si="0"/>
        <v>INSERT INTO COMMCODE VALUES('PAY_0030','전도금','PAY','20250520','80525','Y','3','');</v>
      </c>
    </row>
    <row r="16" spans="1:10" x14ac:dyDescent="0.3">
      <c r="A16" s="4" t="s">
        <v>183</v>
      </c>
      <c r="B16" s="4" t="s">
        <v>185</v>
      </c>
      <c r="C16" s="4" t="s">
        <v>203</v>
      </c>
      <c r="D16" s="4">
        <v>20250520</v>
      </c>
      <c r="E16" s="4">
        <v>80525</v>
      </c>
      <c r="F16" s="4" t="s">
        <v>42</v>
      </c>
      <c r="G16" s="4">
        <v>1</v>
      </c>
      <c r="H16" s="4"/>
      <c r="J16" s="3" t="str">
        <f t="shared" si="0"/>
        <v>INSERT INTO COMMCODE VALUES('TYPE_0010','기안','TYPE','20250520','80525','Y','1','');</v>
      </c>
    </row>
    <row r="17" spans="1:10" x14ac:dyDescent="0.3">
      <c r="A17" s="4" t="s">
        <v>184</v>
      </c>
      <c r="B17" s="4" t="s">
        <v>168</v>
      </c>
      <c r="C17" s="4" t="s">
        <v>203</v>
      </c>
      <c r="D17" s="4">
        <v>20250520</v>
      </c>
      <c r="E17" s="4">
        <v>80525</v>
      </c>
      <c r="F17" s="4" t="s">
        <v>42</v>
      </c>
      <c r="G17" s="4">
        <v>2</v>
      </c>
      <c r="H17" s="4"/>
      <c r="J17" s="3" t="str">
        <f t="shared" si="0"/>
        <v>INSERT INTO COMMCODE VALUES('TYPE_0020','결재','TYPE','20250520','80525','Y','2','');</v>
      </c>
    </row>
    <row r="18" spans="1:10" x14ac:dyDescent="0.3">
      <c r="A18" s="4" t="s">
        <v>186</v>
      </c>
      <c r="B18" s="4" t="s">
        <v>169</v>
      </c>
      <c r="C18" s="4" t="s">
        <v>203</v>
      </c>
      <c r="D18" s="4">
        <v>20250520</v>
      </c>
      <c r="E18" s="4">
        <v>80525</v>
      </c>
      <c r="F18" s="4" t="s">
        <v>42</v>
      </c>
      <c r="G18" s="4">
        <v>3</v>
      </c>
      <c r="H18" s="4"/>
      <c r="J18" s="3" t="str">
        <f t="shared" si="0"/>
        <v>INSERT INTO COMMCODE VALUES('TYPE_0030','참조','TYPE','20250520','80525','Y','3','');</v>
      </c>
    </row>
    <row r="19" spans="1:10" x14ac:dyDescent="0.3">
      <c r="A19" s="4" t="s">
        <v>187</v>
      </c>
      <c r="B19" s="4" t="s">
        <v>189</v>
      </c>
      <c r="C19" s="4" t="s">
        <v>204</v>
      </c>
      <c r="D19" s="4">
        <v>20250520</v>
      </c>
      <c r="E19" s="4">
        <v>80525</v>
      </c>
      <c r="F19" s="4" t="s">
        <v>42</v>
      </c>
      <c r="G19" s="4">
        <v>1</v>
      </c>
      <c r="H19" s="4"/>
      <c r="J19" s="3" t="str">
        <f t="shared" si="0"/>
        <v>INSERT INTO COMMCODE VALUES('REQ_0010','반입','REQ','20250520','80525','Y','1','');</v>
      </c>
    </row>
    <row r="20" spans="1:10" x14ac:dyDescent="0.3">
      <c r="A20" s="4" t="s">
        <v>188</v>
      </c>
      <c r="B20" s="4" t="s">
        <v>190</v>
      </c>
      <c r="C20" s="4" t="s">
        <v>204</v>
      </c>
      <c r="D20" s="4">
        <v>20250520</v>
      </c>
      <c r="E20" s="4">
        <v>80525</v>
      </c>
      <c r="F20" s="4" t="s">
        <v>42</v>
      </c>
      <c r="G20" s="4">
        <v>2</v>
      </c>
      <c r="H20" s="4"/>
      <c r="J20" s="3" t="str">
        <f t="shared" si="0"/>
        <v>INSERT INTO COMMCODE VALUES('REQ_0020','반출','REQ','20250520','80525','Y','2','');</v>
      </c>
    </row>
    <row r="21" spans="1:10" x14ac:dyDescent="0.3">
      <c r="A21" s="4" t="s">
        <v>191</v>
      </c>
      <c r="B21" s="4" t="s">
        <v>194</v>
      </c>
      <c r="C21" s="4" t="s">
        <v>205</v>
      </c>
      <c r="D21" s="4">
        <v>20250520</v>
      </c>
      <c r="E21" s="4">
        <v>80525</v>
      </c>
      <c r="F21" s="4" t="s">
        <v>42</v>
      </c>
      <c r="G21" s="4">
        <v>1</v>
      </c>
      <c r="H21" s="4"/>
      <c r="J21" s="3" t="str">
        <f t="shared" si="0"/>
        <v>INSERT INTO COMMCODE VALUES('STEP_0010','결재진행중','STEP','20250520','80525','Y','1','');</v>
      </c>
    </row>
    <row r="22" spans="1:10" x14ac:dyDescent="0.3">
      <c r="A22" s="4" t="s">
        <v>192</v>
      </c>
      <c r="B22" s="4" t="s">
        <v>195</v>
      </c>
      <c r="C22" s="4" t="s">
        <v>205</v>
      </c>
      <c r="D22" s="4">
        <v>20250520</v>
      </c>
      <c r="E22" s="4">
        <v>80525</v>
      </c>
      <c r="F22" s="4" t="s">
        <v>42</v>
      </c>
      <c r="G22" s="4">
        <v>2</v>
      </c>
      <c r="H22" s="4"/>
      <c r="J22" s="3" t="str">
        <f t="shared" si="0"/>
        <v>INSERT INTO COMMCODE VALUES('STEP_0020','결재완료','STEP','20250520','80525','Y','2','');</v>
      </c>
    </row>
    <row r="23" spans="1:10" x14ac:dyDescent="0.3">
      <c r="A23" s="4" t="s">
        <v>193</v>
      </c>
      <c r="B23" s="4" t="s">
        <v>196</v>
      </c>
      <c r="C23" s="4" t="s">
        <v>205</v>
      </c>
      <c r="D23" s="4">
        <v>20250520</v>
      </c>
      <c r="E23" s="4">
        <v>80525</v>
      </c>
      <c r="F23" s="4" t="s">
        <v>42</v>
      </c>
      <c r="G23" s="4">
        <v>3</v>
      </c>
      <c r="H23" s="4"/>
      <c r="J23" s="3" t="str">
        <f t="shared" si="0"/>
        <v>INSERT INTO COMMCODE VALUES('STEP_0030','결재반송','STEP','20250520','80525','Y','3','');</v>
      </c>
    </row>
    <row r="24" spans="1:10" x14ac:dyDescent="0.3">
      <c r="A24" s="4" t="s">
        <v>214</v>
      </c>
      <c r="B24" s="4" t="s">
        <v>215</v>
      </c>
      <c r="C24" s="4" t="s">
        <v>205</v>
      </c>
      <c r="D24" s="4">
        <v>20250520</v>
      </c>
      <c r="E24" s="4">
        <v>80525</v>
      </c>
      <c r="F24" s="4" t="s">
        <v>42</v>
      </c>
      <c r="G24" s="4">
        <v>4</v>
      </c>
      <c r="H24" s="4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4" t="s">
        <v>208</v>
      </c>
      <c r="B25" s="4" t="s">
        <v>211</v>
      </c>
      <c r="C25" s="4" t="s">
        <v>207</v>
      </c>
      <c r="D25" s="4">
        <v>20250520</v>
      </c>
      <c r="E25" s="4">
        <v>80525</v>
      </c>
      <c r="F25" s="4" t="s">
        <v>42</v>
      </c>
      <c r="G25" s="4">
        <v>1</v>
      </c>
      <c r="H25" s="4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4" t="s">
        <v>209</v>
      </c>
      <c r="B26" s="4" t="s">
        <v>212</v>
      </c>
      <c r="C26" s="4" t="s">
        <v>207</v>
      </c>
      <c r="D26" s="4">
        <v>20250520</v>
      </c>
      <c r="E26" s="4">
        <v>80525</v>
      </c>
      <c r="F26" s="4" t="s">
        <v>42</v>
      </c>
      <c r="G26" s="4">
        <v>2</v>
      </c>
      <c r="H26" s="4"/>
      <c r="J26" s="3" t="str">
        <f t="shared" si="2"/>
        <v>INSERT INTO COMMCODE VALUES('RSLT_0020','반송','RSLT','20250520','80525','Y','2','');</v>
      </c>
    </row>
    <row r="27" spans="1:10" x14ac:dyDescent="0.3">
      <c r="A27" s="4" t="s">
        <v>210</v>
      </c>
      <c r="B27" s="4" t="s">
        <v>213</v>
      </c>
      <c r="C27" s="4" t="s">
        <v>207</v>
      </c>
      <c r="D27" s="4">
        <v>20250520</v>
      </c>
      <c r="E27" s="4">
        <v>80525</v>
      </c>
      <c r="F27" s="4" t="s">
        <v>42</v>
      </c>
      <c r="G27" s="4">
        <v>3</v>
      </c>
      <c r="H27" s="4"/>
      <c r="J27" s="3" t="str">
        <f t="shared" ref="J27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MENU</vt:lpstr>
      <vt:lpstr>AUTH</vt:lpstr>
      <vt:lpstr>MENU_AUTH</vt:lpstr>
      <vt:lpstr>EMP_AUTH</vt:lpstr>
      <vt:lpstr>EMPINFO</vt:lpstr>
      <vt:lpstr>ORG</vt:lpstr>
      <vt:lpstr>RANK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2025-11-08T07:56:51Z</dcterms:modified>
</cp:coreProperties>
</file>