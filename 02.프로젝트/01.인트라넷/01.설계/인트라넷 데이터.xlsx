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3BC26A93-0858-494D-A879-3F31C45A918E}" xr6:coauthVersionLast="47" xr6:coauthVersionMax="47" xr10:uidLastSave="{00000000-0000-0000-0000-000000000000}"/>
  <bookViews>
    <workbookView xWindow="-120" yWindow="-120" windowWidth="29040" windowHeight="15720" tabRatio="793" activeTab="2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21" l="1"/>
  <c r="J17" i="8"/>
  <c r="J6" i="8"/>
  <c r="J30" i="23"/>
  <c r="J29" i="23"/>
  <c r="J28" i="23"/>
  <c r="Q3" i="28"/>
  <c r="I4" i="27"/>
  <c r="I5" i="27"/>
  <c r="I6" i="27"/>
  <c r="I3" i="27"/>
  <c r="G31" i="21"/>
  <c r="G30" i="21"/>
  <c r="J27" i="8"/>
  <c r="J16" i="8"/>
  <c r="J7" i="8"/>
  <c r="J20" i="8"/>
  <c r="J21" i="8"/>
  <c r="G29" i="21"/>
  <c r="G28" i="21"/>
  <c r="J31" i="8"/>
  <c r="J13" i="8"/>
  <c r="G27" i="21"/>
  <c r="J19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2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10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1" i="8"/>
  <c r="J8" i="8"/>
  <c r="J9" i="8"/>
  <c r="J14" i="8"/>
  <c r="J15" i="8"/>
  <c r="J18" i="8"/>
  <c r="J22" i="8"/>
  <c r="J23" i="8"/>
  <c r="J24" i="8"/>
  <c r="J25" i="8"/>
  <c r="J26" i="8"/>
  <c r="J28" i="8"/>
  <c r="J29" i="8"/>
  <c r="J30" i="8"/>
  <c r="J32" i="8"/>
  <c r="J3" i="8"/>
</calcChain>
</file>

<file path=xl/sharedStrings.xml><?xml version="1.0" encoding="utf-8"?>
<sst xmlns="http://schemas.openxmlformats.org/spreadsheetml/2006/main" count="562" uniqueCount="276">
  <si>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</si>
  <si>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</si>
  <si>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</si>
  <si>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</si>
  <si>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</si>
  <si>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</si>
  <si>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</si>
  <si>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</si>
  <si>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</si>
  <si>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</si>
  <si>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</si>
  <si>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</si>
  <si>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</si>
  <si>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</si>
  <si>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</si>
  <si>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</si>
  <si>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</si>
  <si>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</si>
  <si>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</si>
  <si>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</si>
  <si>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</si>
  <si>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</si>
  <si>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</si>
  <si>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</si>
  <si>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</si>
  <si>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</si>
  <si>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</si>
  <si>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</si>
  <si>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</si>
  <si>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</si>
  <si>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</si>
  <si>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</si>
  <si>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</si>
  <si>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</si>
  <si>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</si>
  <si>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</si>
  <si>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</si>
  <si>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</si>
  <si>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</si>
  <si>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</si>
  <si>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</si>
  <si>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</si>
  <si>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</si>
  <si>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</si>
  <si>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</si>
  <si>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</si>
  <si>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</si>
  <si>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</si>
  <si>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</si>
  <si>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</si>
  <si>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</si>
  <si>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</si>
  <si>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</si>
  <si>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</si>
  <si>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</si>
  <si>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</si>
  <si>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</si>
  <si>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</si>
  <si>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</si>
  <si>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</si>
  <si>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</si>
  <si>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</si>
  <si>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</si>
  <si>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</si>
  <si>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</si>
  <si>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</si>
  <si>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</si>
  <si>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</si>
  <si>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</si>
  <si>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</si>
  <si>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</si>
  <si>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</si>
  <si>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</si>
  <si>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</si>
  <si>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</si>
  <si>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</si>
  <si>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</si>
  <si>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</si>
  <si>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</si>
  <si>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</si>
  <si>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</si>
  <si>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</si>
  <si>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</si>
  <si>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</si>
  <si>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</si>
  <si>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</si>
  <si>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</si>
  <si>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</si>
  <si>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</si>
  <si>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</si>
  <si>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</si>
  <si>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</si>
  <si>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</si>
  <si>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</si>
  <si>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</si>
  <si>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</si>
  <si>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</si>
  <si>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</si>
  <si>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</si>
  <si>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</si>
  <si>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</si>
  <si>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</si>
  <si>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</si>
  <si>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</si>
  <si>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</si>
  <si>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</si>
  <si>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</si>
  <si>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</si>
  <si>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</si>
  <si>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</si>
  <si>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</si>
  <si>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</si>
  <si>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</si>
  <si>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</si>
  <si>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</si>
  <si>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</si>
  <si>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</si>
  <si>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</si>
  <si>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</si>
  <si>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</si>
  <si>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</si>
  <si>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</si>
  <si>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</si>
  <si>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</si>
  <si>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</si>
  <si>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</si>
  <si>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</si>
  <si>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</si>
  <si>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</si>
  <si>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</si>
  <si>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</si>
  <si>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</si>
  <si>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</si>
  <si>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</si>
  <si>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</si>
  <si>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</si>
  <si>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</si>
  <si>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</si>
  <si>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</si>
  <si>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</si>
  <si>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</si>
  <si>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</si>
  <si>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</si>
  <si>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</si>
  <si>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</si>
  <si>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</si>
  <si>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</si>
  <si>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</si>
  <si>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</si>
  <si>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</si>
  <si>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</si>
  <si>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</si>
  <si>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</si>
  <si>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</si>
  <si>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</si>
  <si>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</si>
  <si>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</si>
  <si>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</si>
  <si>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</si>
  <si>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</si>
  <si>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</si>
  <si>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</si>
  <si>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</si>
  <si>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</si>
  <si>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</si>
  <si>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</si>
  <si>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</si>
  <si>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</si>
  <si>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</si>
  <si>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</si>
  <si>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</si>
  <si>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</si>
  <si>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</si>
  <si>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</si>
  <si>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</si>
  <si>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</si>
  <si>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</si>
  <si>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</si>
  <si>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</si>
  <si>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</si>
  <si>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</si>
  <si>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</si>
  <si>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</si>
  <si>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</si>
  <si>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</si>
  <si>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</si>
  <si>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</si>
  <si>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</si>
  <si>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</si>
  <si>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</si>
  <si>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</si>
  <si>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</si>
  <si>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</si>
  <si>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</si>
  <si>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</si>
  <si>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</si>
  <si>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</si>
  <si>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</si>
  <si>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</si>
  <si>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</si>
  <si>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</si>
  <si>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</si>
  <si>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</si>
  <si>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</si>
  <si>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</si>
  <si>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</si>
  <si>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</si>
  <si>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</si>
  <si>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</si>
  <si>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</si>
  <si>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</si>
  <si>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</si>
  <si>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</si>
  <si>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</si>
  <si>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</si>
  <si>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</si>
  <si>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</si>
  <si>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</si>
  <si>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</si>
  <si>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</si>
  <si>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</si>
  <si>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</si>
  <si>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</si>
  <si>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</si>
  <si>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</si>
  <si>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</si>
  <si>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</si>
  <si>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</si>
  <si>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</si>
  <si>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</si>
  <si>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</si>
  <si>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</si>
  <si>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</si>
  <si>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</si>
  <si>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</si>
  <si>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</si>
  <si>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</si>
  <si>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</si>
  <si>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</si>
  <si>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</si>
  <si>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</si>
  <si>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</si>
  <si>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</si>
  <si>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</si>
  <si>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</si>
  <si>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</si>
  <si>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</si>
  <si>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</si>
  <si>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</si>
  <si>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</si>
  <si>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</si>
  <si>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</si>
  <si>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</si>
  <si>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</si>
  <si>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</si>
  <si>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</si>
  <si>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</si>
  <si>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</si>
  <si>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</si>
  <si>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</si>
  <si>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</si>
  <si>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</si>
  <si>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</si>
  <si>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</si>
  <si>
    <t>LOC_0010</t>
    <phoneticPr fontId="1" type="noConversion"/>
  </si>
  <si>
    <t>LOC_0020</t>
    <phoneticPr fontId="1" type="noConversion"/>
  </si>
  <si>
    <t>LOC_0030</t>
    <phoneticPr fontId="1" type="noConversion"/>
  </si>
  <si>
    <t>회의실 (대)</t>
    <phoneticPr fontId="1" type="noConversion"/>
  </si>
  <si>
    <t>회의실 (중)</t>
    <phoneticPr fontId="1" type="noConversion"/>
  </si>
  <si>
    <t>회의실 (소)</t>
    <phoneticPr fontId="1" type="noConversion"/>
  </si>
  <si>
    <t>LOC</t>
    <phoneticPr fontId="1" type="noConversion"/>
  </si>
  <si>
    <t>MENU_0030</t>
  </si>
  <si>
    <t>내부규정</t>
    <phoneticPr fontId="1" type="noConversion"/>
  </si>
  <si>
    <t>일정 관리</t>
    <phoneticPr fontId="1" type="noConversion"/>
  </si>
  <si>
    <t>intrRegsInqy1010.do</t>
    <phoneticPr fontId="1" type="noConversion"/>
  </si>
  <si>
    <t>결재양식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</si>
</sst>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2"/>
  <sheetViews>
    <sheetView topLeftCell="A2" workbookViewId="0">
      <selection activeCell="B26" sqref="B26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68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243</v>
      </c>
      <c r="D5" s="4" t="s">
        <v>40</v>
      </c>
      <c r="E5" s="4" t="s">
        <v>189</v>
      </c>
      <c r="F5" s="4" t="s">
        <v>42</v>
      </c>
      <c r="G5" s="4">
        <v>3</v>
      </c>
      <c r="H5" s="4"/>
      <c r="J5" s="3" t="str">
        <f t="shared" ref="J5:J32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273</v>
      </c>
      <c r="D6" s="4" t="s">
        <v>40</v>
      </c>
      <c r="E6" s="4" t="s">
        <v>240</v>
      </c>
      <c r="F6" s="4" t="s">
        <v>42</v>
      </c>
      <c r="G6" s="4">
        <v>4</v>
      </c>
      <c r="H6" s="4"/>
      <c r="J6" s="3" t="str">
        <f t="shared" si="1"/>
        <v>INSERT INTO MENU VALUES('MENU_0004','0','일정 관리','MENU_0001','intrAprvInqy3010.do','Y','4','');</v>
      </c>
    </row>
    <row r="7" spans="1:10" x14ac:dyDescent="0.3">
      <c r="A7" s="4" t="s">
        <v>15</v>
      </c>
      <c r="B7" s="4">
        <v>0</v>
      </c>
      <c r="C7" s="4" t="s">
        <v>272</v>
      </c>
      <c r="D7" s="4" t="s">
        <v>40</v>
      </c>
      <c r="E7" s="4" t="s">
        <v>274</v>
      </c>
      <c r="F7" s="4" t="s">
        <v>42</v>
      </c>
      <c r="G7" s="4">
        <v>5</v>
      </c>
      <c r="H7" s="4"/>
      <c r="J7" s="3" t="str">
        <f t="shared" ref="J7" si="2">"INSERT INTO "&amp;$A$1&amp;" VALUES('"&amp;A7&amp;"','"&amp;B7&amp;"','"&amp;C7&amp;"','"&amp;D7&amp;"','"&amp;E7&amp;"','"&amp;F7&amp;"','"&amp;G7&amp;"','"&amp;H7&amp;"');"</f>
        <v>INSERT INTO MENU VALUES('MENU_0005','0','내부규정','MENU_0001','intrRegsInqy1010.do','Y','5','');</v>
      </c>
    </row>
    <row r="8" spans="1:10" x14ac:dyDescent="0.3">
      <c r="A8" s="4" t="s">
        <v>19</v>
      </c>
      <c r="B8" s="4">
        <v>0</v>
      </c>
      <c r="C8" s="4" t="s">
        <v>45</v>
      </c>
      <c r="D8" s="4"/>
      <c r="E8" s="4"/>
      <c r="F8" s="4" t="s">
        <v>42</v>
      </c>
      <c r="G8" s="4">
        <v>6</v>
      </c>
      <c r="H8" s="4"/>
      <c r="J8" s="3" t="str">
        <f t="shared" si="1"/>
        <v>INSERT INTO MENU VALUES('MENU_0006','0','전자결재','','','Y','6','');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19</v>
      </c>
      <c r="E9" s="4" t="s">
        <v>46</v>
      </c>
      <c r="F9" s="4" t="s">
        <v>42</v>
      </c>
      <c r="G9" s="4">
        <v>7</v>
      </c>
      <c r="H9" s="4"/>
      <c r="J9" s="3" t="str">
        <f t="shared" si="1"/>
        <v>INSERT INTO MENU VALUES('MENU_0007','0','기안 작성','MENU_0006','intrAprvInqy1010.do','Y','7','');</v>
      </c>
    </row>
    <row r="10" spans="1:10" x14ac:dyDescent="0.3">
      <c r="A10" s="4" t="s">
        <v>21</v>
      </c>
      <c r="B10" s="4">
        <v>0</v>
      </c>
      <c r="C10" s="4" t="s">
        <v>145</v>
      </c>
      <c r="D10" s="4" t="s">
        <v>19</v>
      </c>
      <c r="E10" s="4" t="s">
        <v>47</v>
      </c>
      <c r="F10" s="4" t="s">
        <v>42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VALUES('MENU_0008','0','결재 조회','MENU_0006','intrAprvInqy2010.do','Y','8','');</v>
      </c>
    </row>
    <row r="11" spans="1:10" x14ac:dyDescent="0.3">
      <c r="A11" s="4" t="s">
        <v>22</v>
      </c>
      <c r="B11" s="4">
        <v>0</v>
      </c>
      <c r="C11" s="4" t="s">
        <v>214</v>
      </c>
      <c r="D11" s="4" t="s">
        <v>19</v>
      </c>
      <c r="E11" s="4" t="s">
        <v>258</v>
      </c>
      <c r="F11" s="4" t="s">
        <v>42</v>
      </c>
      <c r="G11" s="4">
        <v>9</v>
      </c>
      <c r="H11" s="4"/>
      <c r="J11" s="3" t="str">
        <f>"INSERT INTO "&amp;$A$1&amp;" VALUES('"&amp;A11&amp;"','"&amp;B11&amp;"','"&amp;C11&amp;"','"&amp;D11&amp;"','"&amp;E11&amp;"','"&amp;F11&amp;"','"&amp;G11&amp;"','"&amp;H11&amp;"');"</f>
        <v>INSERT INTO MENU VALUES('MENU_0009','0','결재선 관리','MENU_0006','intrAprvInqy4010.do','Y','9','');</v>
      </c>
    </row>
    <row r="12" spans="1:10" x14ac:dyDescent="0.3">
      <c r="A12" s="4" t="s">
        <v>23</v>
      </c>
      <c r="B12" s="4">
        <v>0</v>
      </c>
      <c r="C12" s="4" t="s">
        <v>242</v>
      </c>
      <c r="D12" s="4"/>
      <c r="E12" s="4"/>
      <c r="F12" s="4" t="s">
        <v>42</v>
      </c>
      <c r="G12" s="4">
        <v>10</v>
      </c>
      <c r="H12" s="4"/>
      <c r="J12" s="3" t="str">
        <f t="shared" ref="J12:J13" si="4">"INSERT INTO "&amp;$A$1&amp;" VALUES('"&amp;A12&amp;"','"&amp;B12&amp;"','"&amp;C12&amp;"','"&amp;D12&amp;"','"&amp;E12&amp;"','"&amp;F12&amp;"','"&amp;G12&amp;"','"&amp;H12&amp;"');"</f>
        <v>INSERT INTO MENU VALUES('MENU_0010','0','업무 관리','','','Y','10','');</v>
      </c>
    </row>
    <row r="13" spans="1:10" x14ac:dyDescent="0.3">
      <c r="A13" s="4" t="s">
        <v>24</v>
      </c>
      <c r="B13" s="4">
        <v>0</v>
      </c>
      <c r="C13" s="4" t="s">
        <v>152</v>
      </c>
      <c r="D13" s="4" t="s">
        <v>23</v>
      </c>
      <c r="E13" s="4" t="s">
        <v>48</v>
      </c>
      <c r="F13" s="4" t="s">
        <v>42</v>
      </c>
      <c r="G13" s="4">
        <v>11</v>
      </c>
      <c r="H13" s="4"/>
      <c r="J13" s="3" t="str">
        <f t="shared" si="4"/>
        <v>INSERT INTO MENU VALUES('MENU_0011','0','업무일지 작성','MENU_0010','intrTaskInqy1010.do','Y','11','');</v>
      </c>
    </row>
    <row r="14" spans="1:10" x14ac:dyDescent="0.3">
      <c r="A14" s="4" t="s">
        <v>25</v>
      </c>
      <c r="B14" s="4">
        <v>0</v>
      </c>
      <c r="C14" s="4" t="s">
        <v>244</v>
      </c>
      <c r="D14" s="4" t="s">
        <v>23</v>
      </c>
      <c r="E14" s="4" t="s">
        <v>241</v>
      </c>
      <c r="F14" s="4" t="s">
        <v>42</v>
      </c>
      <c r="G14" s="4">
        <v>12</v>
      </c>
      <c r="H14" s="4"/>
      <c r="J14" s="3" t="str">
        <f t="shared" si="1"/>
        <v>INSERT INTO MENU VALUES('MENU_0012','0','업무 캘린더','MENU_0010','intrTaskInqy3010.do','Y','12','');</v>
      </c>
    </row>
    <row r="15" spans="1:10" x14ac:dyDescent="0.3">
      <c r="A15" s="4" t="s">
        <v>26</v>
      </c>
      <c r="B15" s="4">
        <v>0</v>
      </c>
      <c r="C15" s="4" t="s">
        <v>49</v>
      </c>
      <c r="D15" s="4"/>
      <c r="E15" s="4"/>
      <c r="F15" s="4" t="s">
        <v>42</v>
      </c>
      <c r="G15" s="4">
        <v>13</v>
      </c>
      <c r="H15" s="4"/>
      <c r="J15" s="3" t="str">
        <f t="shared" si="1"/>
        <v>INSERT INTO MENU VALUES('MENU_0013','0','인사정보','','','Y','13','');</v>
      </c>
    </row>
    <row r="16" spans="1:10" x14ac:dyDescent="0.3">
      <c r="A16" s="4" t="s">
        <v>27</v>
      </c>
      <c r="B16" s="4">
        <v>0</v>
      </c>
      <c r="C16" s="4" t="s">
        <v>207</v>
      </c>
      <c r="D16" s="4" t="s">
        <v>26</v>
      </c>
      <c r="E16" s="4" t="s">
        <v>50</v>
      </c>
      <c r="F16" s="4" t="s">
        <v>42</v>
      </c>
      <c r="G16" s="4">
        <v>14</v>
      </c>
      <c r="H16" s="4"/>
      <c r="J16" s="3" t="str">
        <f t="shared" ref="J16:J17" si="5">"INSERT INTO "&amp;$A$1&amp;" VALUES('"&amp;A16&amp;"','"&amp;B16&amp;"','"&amp;C16&amp;"','"&amp;D16&amp;"','"&amp;E16&amp;"','"&amp;F16&amp;"','"&amp;G16&amp;"','"&amp;H16&amp;"');"</f>
        <v>INSERT INTO MENU VALUES('MENU_0014','0','사원 조회','MENU_0013','intrEmpInqy2010.do','Y','14','');</v>
      </c>
    </row>
    <row r="17" spans="1:10" x14ac:dyDescent="0.3">
      <c r="A17" s="4" t="s">
        <v>28</v>
      </c>
      <c r="B17" s="4">
        <v>0</v>
      </c>
      <c r="C17" s="4" t="s">
        <v>215</v>
      </c>
      <c r="D17" s="4" t="s">
        <v>26</v>
      </c>
      <c r="E17" s="4" t="s">
        <v>216</v>
      </c>
      <c r="F17" s="4" t="s">
        <v>42</v>
      </c>
      <c r="G17" s="4">
        <v>15</v>
      </c>
      <c r="H17" s="4"/>
      <c r="J17" s="3" t="str">
        <f t="shared" si="5"/>
        <v>INSERT INTO MENU VALUES('MENU_0015','0','담당업무 조회','MENU_0013','intrEmpInqy3010.do','Y','15','');</v>
      </c>
    </row>
    <row r="18" spans="1:10" x14ac:dyDescent="0.3">
      <c r="A18" s="4" t="s">
        <v>29</v>
      </c>
      <c r="B18" s="4">
        <v>1</v>
      </c>
      <c r="C18" s="4" t="s">
        <v>158</v>
      </c>
      <c r="D18" s="4"/>
      <c r="E18" s="4"/>
      <c r="F18" s="4" t="s">
        <v>42</v>
      </c>
      <c r="G18" s="4">
        <v>16</v>
      </c>
      <c r="H18" s="4"/>
      <c r="J18" s="3" t="str">
        <f t="shared" si="1"/>
        <v>INSERT INTO MENU VALUES('MENU_0016','1','공유정보 관리','','','Y','16','');</v>
      </c>
    </row>
    <row r="19" spans="1:10" x14ac:dyDescent="0.3">
      <c r="A19" s="4" t="s">
        <v>30</v>
      </c>
      <c r="B19" s="4">
        <v>1</v>
      </c>
      <c r="C19" s="4" t="s">
        <v>51</v>
      </c>
      <c r="D19" s="4" t="s">
        <v>29</v>
      </c>
      <c r="E19" s="4" t="s">
        <v>31</v>
      </c>
      <c r="F19" s="4" t="s">
        <v>42</v>
      </c>
      <c r="G19" s="4">
        <v>17</v>
      </c>
      <c r="H19" s="4"/>
      <c r="J19" s="3" t="str">
        <f t="shared" ref="J19" si="6">"INSERT INTO "&amp;$A$1&amp;" VALUES('"&amp;A19&amp;"','"&amp;B19&amp;"','"&amp;C19&amp;"','"&amp;D19&amp;"','"&amp;E19&amp;"','"&amp;F19&amp;"','"&amp;G19&amp;"','"&amp;H19&amp;"');"</f>
        <v>INSERT INTO MENU VALUES('MENU_0017','1','공지사항 관리','MENU_0016','intrBoardInqy1010.do','Y','17','');</v>
      </c>
    </row>
    <row r="20" spans="1:10" x14ac:dyDescent="0.3">
      <c r="A20" s="4" t="s">
        <v>36</v>
      </c>
      <c r="B20" s="4">
        <v>1</v>
      </c>
      <c r="C20" s="4" t="s">
        <v>208</v>
      </c>
      <c r="D20" s="4" t="s">
        <v>29</v>
      </c>
      <c r="E20" s="4" t="s">
        <v>211</v>
      </c>
      <c r="F20" s="4" t="s">
        <v>42</v>
      </c>
      <c r="G20" s="4">
        <v>18</v>
      </c>
      <c r="H20" s="4"/>
      <c r="J20" s="3" t="str">
        <f t="shared" si="1"/>
        <v>INSERT INTO MENU VALUES('MENU_0018','1','배너 관리','MENU_0016','intrBanrInqy1010.do','Y','18','');</v>
      </c>
    </row>
    <row r="21" spans="1:10" x14ac:dyDescent="0.3">
      <c r="A21" s="4" t="s">
        <v>37</v>
      </c>
      <c r="B21" s="4">
        <v>1</v>
      </c>
      <c r="C21" s="4" t="s">
        <v>52</v>
      </c>
      <c r="D21" s="4" t="s">
        <v>29</v>
      </c>
      <c r="E21" s="4" t="s">
        <v>53</v>
      </c>
      <c r="F21" s="4" t="s">
        <v>42</v>
      </c>
      <c r="G21" s="4">
        <v>19</v>
      </c>
      <c r="H21" s="4"/>
      <c r="J21" s="3" t="str">
        <f>"INSERT INTO "&amp;$A$1&amp;" VALUES('"&amp;A21&amp;"','"&amp;B21&amp;"','"&amp;C21&amp;"','"&amp;D21&amp;"','"&amp;E21&amp;"','"&amp;F21&amp;"','"&amp;G21&amp;"','"&amp;H21&amp;"');"</f>
        <v>INSERT INTO MENU VALUES('MENU_0019','1','업무일지 조회','MENU_0016','intrTaskInqy2010.do','Y','19','');</v>
      </c>
    </row>
    <row r="22" spans="1:10" x14ac:dyDescent="0.3">
      <c r="A22" s="4" t="s">
        <v>38</v>
      </c>
      <c r="B22" s="4">
        <v>1</v>
      </c>
      <c r="C22" s="4" t="s">
        <v>259</v>
      </c>
      <c r="D22" s="4"/>
      <c r="E22" s="4"/>
      <c r="F22" s="4" t="s">
        <v>42</v>
      </c>
      <c r="G22" s="4">
        <v>20</v>
      </c>
      <c r="H22" s="4"/>
      <c r="J22" s="3" t="str">
        <f t="shared" si="1"/>
        <v>INSERT INTO MENU VALUES('MENU_0020','1','전자결재 관리','','','Y','20','');</v>
      </c>
    </row>
    <row r="23" spans="1:10" x14ac:dyDescent="0.3">
      <c r="A23" s="4" t="s">
        <v>39</v>
      </c>
      <c r="B23" s="4">
        <v>1</v>
      </c>
      <c r="C23" s="4" t="s">
        <v>275</v>
      </c>
      <c r="D23" s="4" t="s">
        <v>38</v>
      </c>
      <c r="E23" s="4" t="s">
        <v>54</v>
      </c>
      <c r="F23" s="4" t="s">
        <v>42</v>
      </c>
      <c r="G23" s="4">
        <v>21</v>
      </c>
      <c r="H23" s="4"/>
      <c r="J23" s="3" t="str">
        <f t="shared" si="1"/>
        <v>INSERT INTO MENU VALUES('MENU_0021','1','결재양식 관리','MENU_0020','intrTempInqy1010.do','Y','21','');</v>
      </c>
    </row>
    <row r="24" spans="1:10" x14ac:dyDescent="0.3">
      <c r="A24" s="4" t="s">
        <v>64</v>
      </c>
      <c r="B24" s="4">
        <v>1</v>
      </c>
      <c r="C24" s="4" t="s">
        <v>150</v>
      </c>
      <c r="D24" s="4" t="s">
        <v>38</v>
      </c>
      <c r="E24" s="4" t="s">
        <v>70</v>
      </c>
      <c r="F24" s="4" t="s">
        <v>42</v>
      </c>
      <c r="G24" s="4">
        <v>23</v>
      </c>
      <c r="H24" s="4"/>
      <c r="J24" s="3" t="str">
        <f t="shared" si="1"/>
        <v>INSERT INTO MENU VALUES('MENU_0022','1','프로젝트 관리','MENU_0020','intrProjInqy1010.do','Y','23','');</v>
      </c>
    </row>
    <row r="25" spans="1:10" x14ac:dyDescent="0.3">
      <c r="A25" s="4" t="s">
        <v>67</v>
      </c>
      <c r="B25" s="4">
        <v>1</v>
      </c>
      <c r="C25" s="4" t="s">
        <v>49</v>
      </c>
      <c r="D25" s="4"/>
      <c r="E25" s="4"/>
      <c r="F25" s="4" t="s">
        <v>42</v>
      </c>
      <c r="G25" s="4">
        <v>24</v>
      </c>
      <c r="H25" s="4"/>
      <c r="J25" s="3" t="str">
        <f t="shared" si="1"/>
        <v>INSERT INTO MENU VALUES('MENU_0023','1','인사정보','','','Y','24','');</v>
      </c>
    </row>
    <row r="26" spans="1:10" x14ac:dyDescent="0.3">
      <c r="A26" s="4" t="s">
        <v>151</v>
      </c>
      <c r="B26" s="4">
        <v>1</v>
      </c>
      <c r="C26" s="4" t="s">
        <v>55</v>
      </c>
      <c r="D26" s="4" t="s">
        <v>151</v>
      </c>
      <c r="E26" s="4" t="s">
        <v>56</v>
      </c>
      <c r="F26" s="4" t="s">
        <v>42</v>
      </c>
      <c r="G26" s="4">
        <v>25</v>
      </c>
      <c r="H26" s="4"/>
      <c r="J26" s="3" t="str">
        <f t="shared" si="1"/>
        <v>INSERT INTO MENU VALUES('MENU_0024','1','사원 관리','MENU_0024','intrEmpInqy1010.do','Y','25','');</v>
      </c>
    </row>
    <row r="27" spans="1:10" x14ac:dyDescent="0.3">
      <c r="A27" s="4" t="s">
        <v>209</v>
      </c>
      <c r="B27" s="4">
        <v>1</v>
      </c>
      <c r="C27" s="4" t="s">
        <v>222</v>
      </c>
      <c r="D27" s="4" t="s">
        <v>151</v>
      </c>
      <c r="E27" s="4" t="s">
        <v>217</v>
      </c>
      <c r="F27" s="4" t="s">
        <v>42</v>
      </c>
      <c r="G27" s="4">
        <v>26</v>
      </c>
      <c r="H27" s="4"/>
      <c r="J27" s="3" t="str">
        <f t="shared" ref="J27" si="7">"INSERT INTO "&amp;$A$1&amp;" VALUES('"&amp;A27&amp;"','"&amp;B27&amp;"','"&amp;C27&amp;"','"&amp;D27&amp;"','"&amp;E27&amp;"','"&amp;F27&amp;"','"&amp;G27&amp;"','"&amp;H27&amp;"');"</f>
        <v>INSERT INTO MENU VALUES('MENU_0025','1','인사 통계','MENU_0024','intrEmpInqy4010.do','Y','26','');</v>
      </c>
    </row>
    <row r="28" spans="1:10" x14ac:dyDescent="0.3">
      <c r="A28" s="4" t="s">
        <v>212</v>
      </c>
      <c r="B28" s="4">
        <v>1</v>
      </c>
      <c r="C28" s="4" t="s">
        <v>57</v>
      </c>
      <c r="D28" s="4"/>
      <c r="E28" s="4"/>
      <c r="F28" s="4" t="s">
        <v>42</v>
      </c>
      <c r="G28" s="4">
        <v>27</v>
      </c>
      <c r="H28" s="4"/>
      <c r="J28" s="3" t="str">
        <f t="shared" si="1"/>
        <v>INSERT INTO MENU VALUES('MENU_0026','1','시스템 관리','','','Y','27','');</v>
      </c>
    </row>
    <row r="29" spans="1:10" x14ac:dyDescent="0.3">
      <c r="A29" s="4" t="s">
        <v>213</v>
      </c>
      <c r="B29" s="4">
        <v>1</v>
      </c>
      <c r="C29" s="4" t="s">
        <v>58</v>
      </c>
      <c r="D29" s="4" t="s">
        <v>213</v>
      </c>
      <c r="E29" s="4" t="s">
        <v>59</v>
      </c>
      <c r="F29" s="4" t="s">
        <v>42</v>
      </c>
      <c r="G29" s="4">
        <v>28</v>
      </c>
      <c r="H29" s="4"/>
      <c r="J29" s="3" t="str">
        <f t="shared" si="1"/>
        <v>INSERT INTO MENU VALUES('MENU_0027','1','권한 관리','MENU_0027','intrAuthInqy1010.do','Y','28','');</v>
      </c>
    </row>
    <row r="30" spans="1:10" x14ac:dyDescent="0.3">
      <c r="A30" s="4" t="s">
        <v>218</v>
      </c>
      <c r="B30" s="4">
        <v>1</v>
      </c>
      <c r="C30" s="4" t="s">
        <v>60</v>
      </c>
      <c r="D30" s="4" t="s">
        <v>213</v>
      </c>
      <c r="E30" s="4" t="s">
        <v>61</v>
      </c>
      <c r="F30" s="4" t="s">
        <v>42</v>
      </c>
      <c r="G30" s="4">
        <v>29</v>
      </c>
      <c r="H30" s="4"/>
      <c r="J30" s="3" t="str">
        <f t="shared" si="1"/>
        <v>INSERT INTO MENU VALUES('MENU_0028','1','메뉴 권한 부여','MENU_0027','intrAuthInqy2010.do','Y','29','');</v>
      </c>
    </row>
    <row r="31" spans="1:10" x14ac:dyDescent="0.3">
      <c r="A31" s="4" t="s">
        <v>219</v>
      </c>
      <c r="B31" s="4">
        <v>1</v>
      </c>
      <c r="C31" s="4" t="s">
        <v>62</v>
      </c>
      <c r="D31" s="4" t="s">
        <v>213</v>
      </c>
      <c r="E31" s="4" t="s">
        <v>63</v>
      </c>
      <c r="F31" s="4" t="s">
        <v>42</v>
      </c>
      <c r="G31" s="4">
        <v>30</v>
      </c>
      <c r="H31" s="4"/>
      <c r="J31" s="3" t="str">
        <f t="shared" ref="J31" si="8">"INSERT INTO "&amp;$A$1&amp;" VALUES('"&amp;A31&amp;"','"&amp;B31&amp;"','"&amp;C31&amp;"','"&amp;D31&amp;"','"&amp;E31&amp;"','"&amp;F31&amp;"','"&amp;G31&amp;"','"&amp;H31&amp;"');"</f>
        <v>INSERT INTO MENU VALUES('MENU_0029','1','사용자 권한 부여','MENU_0027','intrAuthInqy3010.do','Y','30','');</v>
      </c>
    </row>
    <row r="32" spans="1:10" x14ac:dyDescent="0.3">
      <c r="A32" s="4" t="s">
        <v>271</v>
      </c>
      <c r="B32" s="4">
        <v>1</v>
      </c>
      <c r="C32" s="4" t="s">
        <v>65</v>
      </c>
      <c r="D32" s="4" t="s">
        <v>213</v>
      </c>
      <c r="E32" s="4" t="s">
        <v>66</v>
      </c>
      <c r="F32" s="4" t="s">
        <v>42</v>
      </c>
      <c r="G32" s="4">
        <v>31</v>
      </c>
      <c r="H32" s="4"/>
      <c r="J32" s="3" t="str">
        <f t="shared" si="1"/>
        <v>INSERT INTO MENU VALUES('MENU_0030','1','쿼리 입력','MENU_0027','intrQueryInqy1010.do','Y','31','');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69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71</v>
      </c>
      <c r="B4" s="4" t="s">
        <v>72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2"/>
  <sheetViews>
    <sheetView tabSelected="1" topLeftCell="A2" workbookViewId="0">
      <selection activeCell="B28" sqref="B28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73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64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67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151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210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212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213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220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221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  <row r="32" spans="1:7" x14ac:dyDescent="0.3">
      <c r="A32" s="4" t="s">
        <v>34</v>
      </c>
      <c r="B32" s="4" t="s">
        <v>271</v>
      </c>
      <c r="C32" s="4" t="s">
        <v>14</v>
      </c>
      <c r="D32" s="4">
        <v>30</v>
      </c>
      <c r="E32" s="4"/>
      <c r="G32" s="3" t="str">
        <f t="shared" ref="G32" si="4">"INSERT INTO "&amp;$A$1&amp;" VALUES('"&amp;A32&amp;"','"&amp;B32&amp;"','"&amp;C32&amp;"','"&amp;D32&amp;"','"&amp;E32&amp;"');"</f>
        <v>INSERT INTO MENU_AUTH VALUES('AUTH_0001','MENU_0030','Y','30','');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74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206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75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76</v>
      </c>
      <c r="C2" s="6" t="s">
        <v>77</v>
      </c>
      <c r="D2" s="6" t="s">
        <v>1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2</v>
      </c>
      <c r="K2" s="6" t="s">
        <v>3</v>
      </c>
      <c r="L2" s="6" t="s">
        <v>83</v>
      </c>
      <c r="M2" s="6" t="s">
        <v>84</v>
      </c>
    </row>
    <row r="3" spans="1:15" x14ac:dyDescent="0.3">
      <c r="A3" s="4" t="s">
        <v>85</v>
      </c>
      <c r="B3" s="4" t="s">
        <v>86</v>
      </c>
      <c r="C3" s="4" t="s">
        <v>87</v>
      </c>
      <c r="D3" s="4" t="s">
        <v>88</v>
      </c>
      <c r="E3" s="4" t="s">
        <v>42</v>
      </c>
      <c r="F3" s="5" t="s">
        <v>90</v>
      </c>
      <c r="G3" s="4"/>
      <c r="H3" s="4"/>
      <c r="I3" s="4" t="s">
        <v>89</v>
      </c>
      <c r="J3" s="4" t="s">
        <v>88</v>
      </c>
      <c r="K3" s="4" t="s">
        <v>88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91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76</v>
      </c>
      <c r="B2" s="6" t="s">
        <v>92</v>
      </c>
      <c r="C2" s="6" t="s">
        <v>93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86</v>
      </c>
      <c r="B3" s="4" t="s">
        <v>127</v>
      </c>
      <c r="C3" s="4"/>
      <c r="D3" s="4">
        <v>20230814</v>
      </c>
      <c r="E3" s="5" t="s">
        <v>97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94</v>
      </c>
      <c r="B4" s="4" t="s">
        <v>126</v>
      </c>
      <c r="C4" s="4"/>
      <c r="D4" s="4">
        <v>20230814</v>
      </c>
      <c r="E4" s="5" t="s">
        <v>97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95</v>
      </c>
      <c r="B5" s="4" t="s">
        <v>128</v>
      </c>
      <c r="C5" s="4"/>
      <c r="D5" s="4">
        <v>20230814</v>
      </c>
      <c r="E5" s="5" t="s">
        <v>97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96</v>
      </c>
      <c r="B6" s="4" t="s">
        <v>129</v>
      </c>
      <c r="C6" s="4"/>
      <c r="D6" s="4">
        <v>20230814</v>
      </c>
      <c r="E6" s="5" t="s">
        <v>97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119</v>
      </c>
      <c r="B7" s="4" t="s">
        <v>130</v>
      </c>
      <c r="C7" s="4"/>
      <c r="D7" s="4">
        <v>20230814</v>
      </c>
      <c r="E7" s="5" t="s">
        <v>97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120</v>
      </c>
      <c r="B8" s="4" t="s">
        <v>131</v>
      </c>
      <c r="C8" s="4"/>
      <c r="D8" s="4">
        <v>20230814</v>
      </c>
      <c r="E8" s="5" t="s">
        <v>97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121</v>
      </c>
      <c r="B9" s="4" t="s">
        <v>132</v>
      </c>
      <c r="C9" s="4"/>
      <c r="D9" s="4">
        <v>20230814</v>
      </c>
      <c r="E9" s="5" t="s">
        <v>97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122</v>
      </c>
      <c r="B10" s="4" t="s">
        <v>133</v>
      </c>
      <c r="C10" s="4"/>
      <c r="D10" s="4">
        <v>20230814</v>
      </c>
      <c r="E10" s="5" t="s">
        <v>97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123</v>
      </c>
      <c r="B11" s="4" t="s">
        <v>134</v>
      </c>
      <c r="C11" s="4"/>
      <c r="D11" s="4">
        <v>20230814</v>
      </c>
      <c r="E11" s="5" t="s">
        <v>97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124</v>
      </c>
      <c r="B12" s="4" t="s">
        <v>135</v>
      </c>
      <c r="C12" s="4"/>
      <c r="D12" s="4">
        <v>20230814</v>
      </c>
      <c r="E12" s="5" t="s">
        <v>97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125</v>
      </c>
      <c r="B13" s="4" t="s">
        <v>136</v>
      </c>
      <c r="C13" s="4"/>
      <c r="D13" s="4">
        <v>20230814</v>
      </c>
      <c r="E13" s="5" t="s">
        <v>97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139</v>
      </c>
      <c r="B14" s="4" t="s">
        <v>137</v>
      </c>
      <c r="C14" s="4"/>
      <c r="D14" s="4">
        <v>20230814</v>
      </c>
      <c r="E14" s="5" t="s">
        <v>97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140</v>
      </c>
      <c r="B15" s="4" t="s">
        <v>138</v>
      </c>
      <c r="C15" s="4"/>
      <c r="D15" s="4">
        <v>20230814</v>
      </c>
      <c r="E15" s="5" t="s">
        <v>97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98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77</v>
      </c>
      <c r="B2" s="6" t="s">
        <v>102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87</v>
      </c>
      <c r="B3" s="4" t="s">
        <v>99</v>
      </c>
      <c r="C3" s="4">
        <v>20230814</v>
      </c>
      <c r="D3" s="5" t="s">
        <v>97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100</v>
      </c>
      <c r="B4" s="4" t="s">
        <v>103</v>
      </c>
      <c r="C4" s="4">
        <v>20230814</v>
      </c>
      <c r="D4" s="5" t="s">
        <v>97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101</v>
      </c>
      <c r="B5" s="4" t="s">
        <v>104</v>
      </c>
      <c r="C5" s="4">
        <v>20230814</v>
      </c>
      <c r="D5" s="5" t="s">
        <v>97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112</v>
      </c>
      <c r="B6" s="4" t="s">
        <v>106</v>
      </c>
      <c r="C6" s="4">
        <v>20230814</v>
      </c>
      <c r="D6" s="5" t="s">
        <v>97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113</v>
      </c>
      <c r="B7" s="4" t="s">
        <v>105</v>
      </c>
      <c r="C7" s="4">
        <v>20230814</v>
      </c>
      <c r="D7" s="5" t="s">
        <v>97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114</v>
      </c>
      <c r="B8" s="4" t="s">
        <v>108</v>
      </c>
      <c r="C8" s="4">
        <v>20230814</v>
      </c>
      <c r="D8" s="5" t="s">
        <v>97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115</v>
      </c>
      <c r="B9" s="4" t="s">
        <v>107</v>
      </c>
      <c r="C9" s="4">
        <v>20230814</v>
      </c>
      <c r="D9" s="5" t="s">
        <v>97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116</v>
      </c>
      <c r="B10" s="4" t="s">
        <v>109</v>
      </c>
      <c r="C10" s="4">
        <v>20230814</v>
      </c>
      <c r="D10" s="5" t="s">
        <v>97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117</v>
      </c>
      <c r="B11" s="4" t="s">
        <v>110</v>
      </c>
      <c r="C11" s="4">
        <v>20230814</v>
      </c>
      <c r="D11" s="5" t="s">
        <v>97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118</v>
      </c>
      <c r="B12" s="4" t="s">
        <v>111</v>
      </c>
      <c r="C12" s="4">
        <v>20230814</v>
      </c>
      <c r="D12" s="5" t="s">
        <v>97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223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224</v>
      </c>
      <c r="B2" s="6" t="s">
        <v>225</v>
      </c>
      <c r="C2" s="6" t="s">
        <v>226</v>
      </c>
      <c r="D2" s="6" t="s">
        <v>227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232</v>
      </c>
      <c r="B3" s="4" t="s">
        <v>231</v>
      </c>
      <c r="C3" s="7" t="s">
        <v>236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233</v>
      </c>
      <c r="B4" s="4" t="s">
        <v>228</v>
      </c>
      <c r="C4" s="7" t="s">
        <v>237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234</v>
      </c>
      <c r="B5" s="4" t="s">
        <v>230</v>
      </c>
      <c r="C5" s="7" t="s">
        <v>238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235</v>
      </c>
      <c r="B6" s="4" t="s">
        <v>229</v>
      </c>
      <c r="C6" s="7" t="s">
        <v>239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245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246</v>
      </c>
      <c r="B2" s="6" t="s">
        <v>247</v>
      </c>
      <c r="C2" s="6" t="s">
        <v>248</v>
      </c>
      <c r="D2" s="6" t="s">
        <v>249</v>
      </c>
      <c r="E2" s="6" t="s">
        <v>250</v>
      </c>
      <c r="F2" s="6" t="s">
        <v>251</v>
      </c>
      <c r="G2" s="6" t="s">
        <v>252</v>
      </c>
      <c r="H2" s="6" t="s">
        <v>253</v>
      </c>
      <c r="I2" s="6" t="s">
        <v>254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255</v>
      </c>
      <c r="B3" s="4" t="s">
        <v>256</v>
      </c>
      <c r="C3" s="4" t="s">
        <v>256</v>
      </c>
      <c r="D3" s="4">
        <v>19900101</v>
      </c>
      <c r="E3" s="4">
        <v>19901231</v>
      </c>
      <c r="F3" s="4" t="s">
        <v>257</v>
      </c>
      <c r="G3" s="4" t="s">
        <v>85</v>
      </c>
      <c r="H3" s="8">
        <v>0</v>
      </c>
      <c r="I3" s="4"/>
      <c r="J3" s="4" t="s">
        <v>85</v>
      </c>
      <c r="K3" s="5" t="s">
        <v>97</v>
      </c>
      <c r="L3" s="5" t="s">
        <v>97</v>
      </c>
      <c r="M3" s="4" t="s">
        <v>42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30"/>
  <sheetViews>
    <sheetView topLeftCell="A4" workbookViewId="0">
      <selection activeCell="F13" sqref="F13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141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142</v>
      </c>
      <c r="B2" s="6" t="s">
        <v>143</v>
      </c>
      <c r="C2" s="6" t="s">
        <v>144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260</v>
      </c>
      <c r="B3" s="4" t="s">
        <v>14</v>
      </c>
      <c r="C3" s="4" t="s">
        <v>262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4" t="s">
        <v>261</v>
      </c>
      <c r="B4" s="4" t="s">
        <v>263</v>
      </c>
      <c r="C4" s="4" t="s">
        <v>262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VALUES('HIRE_0020','N','HIRE','20250520','80525','Y','2','');</v>
      </c>
    </row>
    <row r="5" spans="1:10" x14ac:dyDescent="0.3">
      <c r="A5" s="4" t="s">
        <v>164</v>
      </c>
      <c r="B5" s="4" t="s">
        <v>146</v>
      </c>
      <c r="C5" s="4" t="s">
        <v>196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165</v>
      </c>
      <c r="B6" s="4" t="s">
        <v>147</v>
      </c>
      <c r="C6" s="4" t="s">
        <v>190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166</v>
      </c>
      <c r="B7" s="4" t="s">
        <v>148</v>
      </c>
      <c r="C7" s="4" t="s">
        <v>190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167</v>
      </c>
      <c r="B8" s="4" t="s">
        <v>153</v>
      </c>
      <c r="C8" s="4" t="s">
        <v>191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168</v>
      </c>
      <c r="B9" s="4" t="s">
        <v>154</v>
      </c>
      <c r="C9" s="4" t="s">
        <v>191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169</v>
      </c>
      <c r="B10" s="4" t="s">
        <v>155</v>
      </c>
      <c r="C10" s="4" t="s">
        <v>191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170</v>
      </c>
      <c r="B11" s="4" t="s">
        <v>156</v>
      </c>
      <c r="C11" s="4" t="s">
        <v>191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171</v>
      </c>
      <c r="B12" s="4" t="s">
        <v>157</v>
      </c>
      <c r="C12" s="4" t="s">
        <v>191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172</v>
      </c>
      <c r="B13" s="4" t="s">
        <v>159</v>
      </c>
      <c r="C13" s="4" t="s">
        <v>192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173</v>
      </c>
      <c r="B14" s="4" t="s">
        <v>160</v>
      </c>
      <c r="C14" s="4" t="s">
        <v>192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174</v>
      </c>
      <c r="B15" s="4" t="s">
        <v>161</v>
      </c>
      <c r="C15" s="4" t="s">
        <v>192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175</v>
      </c>
      <c r="B16" s="4" t="s">
        <v>177</v>
      </c>
      <c r="C16" s="4" t="s">
        <v>193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176</v>
      </c>
      <c r="B17" s="4" t="s">
        <v>162</v>
      </c>
      <c r="C17" s="4" t="s">
        <v>193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178</v>
      </c>
      <c r="B18" s="4" t="s">
        <v>163</v>
      </c>
      <c r="C18" s="4" t="s">
        <v>193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179</v>
      </c>
      <c r="B19" s="4" t="s">
        <v>181</v>
      </c>
      <c r="C19" s="4" t="s">
        <v>194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180</v>
      </c>
      <c r="B20" s="4" t="s">
        <v>182</v>
      </c>
      <c r="C20" s="4" t="s">
        <v>194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183</v>
      </c>
      <c r="B21" s="4" t="s">
        <v>186</v>
      </c>
      <c r="C21" s="4" t="s">
        <v>195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184</v>
      </c>
      <c r="B22" s="4" t="s">
        <v>187</v>
      </c>
      <c r="C22" s="4" t="s">
        <v>195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185</v>
      </c>
      <c r="B23" s="4" t="s">
        <v>188</v>
      </c>
      <c r="C23" s="4" t="s">
        <v>195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204</v>
      </c>
      <c r="B24" s="4" t="s">
        <v>205</v>
      </c>
      <c r="C24" s="4" t="s">
        <v>195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198</v>
      </c>
      <c r="B25" s="4" t="s">
        <v>201</v>
      </c>
      <c r="C25" s="4" t="s">
        <v>197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199</v>
      </c>
      <c r="B26" s="4" t="s">
        <v>202</v>
      </c>
      <c r="C26" s="4" t="s">
        <v>197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200</v>
      </c>
      <c r="B27" s="4" t="s">
        <v>203</v>
      </c>
      <c r="C27" s="4" t="s">
        <v>197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:J29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  <row r="28" spans="1:10" x14ac:dyDescent="0.3">
      <c r="A28" s="4" t="s">
        <v>264</v>
      </c>
      <c r="B28" s="4" t="s">
        <v>267</v>
      </c>
      <c r="C28" s="4" t="s">
        <v>270</v>
      </c>
      <c r="D28" s="4">
        <v>20250520</v>
      </c>
      <c r="E28" s="4">
        <v>80525</v>
      </c>
      <c r="F28" s="4" t="s">
        <v>42</v>
      </c>
      <c r="G28" s="4">
        <v>1</v>
      </c>
      <c r="H28" s="4"/>
      <c r="J28" s="3" t="str">
        <f t="shared" si="3"/>
        <v>INSERT INTO COMMCODE VALUES('LOC_0010','회의실 (대)','LOC','20250520','80525','Y','1','');</v>
      </c>
    </row>
    <row r="29" spans="1:10" x14ac:dyDescent="0.3">
      <c r="A29" s="4" t="s">
        <v>265</v>
      </c>
      <c r="B29" s="4" t="s">
        <v>268</v>
      </c>
      <c r="C29" s="4" t="s">
        <v>270</v>
      </c>
      <c r="D29" s="4">
        <v>20250520</v>
      </c>
      <c r="E29" s="4">
        <v>80525</v>
      </c>
      <c r="F29" s="4" t="s">
        <v>42</v>
      </c>
      <c r="G29" s="4">
        <v>2</v>
      </c>
      <c r="H29" s="4"/>
      <c r="J29" s="3" t="str">
        <f t="shared" si="3"/>
        <v>INSERT INTO COMMCODE VALUES('LOC_0020','회의실 (중)','LOC','20250520','80525','Y','2','');</v>
      </c>
    </row>
    <row r="30" spans="1:10" x14ac:dyDescent="0.3">
      <c r="A30" s="4" t="s">
        <v>266</v>
      </c>
      <c r="B30" s="4" t="s">
        <v>269</v>
      </c>
      <c r="C30" s="4" t="s">
        <v>270</v>
      </c>
      <c r="D30" s="4">
        <v>20250520</v>
      </c>
      <c r="E30" s="4">
        <v>80525</v>
      </c>
      <c r="F30" s="4" t="s">
        <v>42</v>
      </c>
      <c r="G30" s="4">
        <v>3</v>
      </c>
      <c r="H30" s="4"/>
      <c r="J30" s="3" t="str">
        <f t="shared" ref="J30" si="4">"INSERT INTO "&amp;$A$1&amp;" VALUES('"&amp;A30&amp;"','"&amp;B30&amp;"','"&amp;C30&amp;"','"&amp;D30&amp;"','"&amp;E30&amp;"','"&amp;F30&amp;"','"&amp;G30&amp;"','"&amp;H30&amp;"');"</f>
        <v>INSERT INTO COMMCODE VALUES('LOC_0030','회의실 (소)','LOC','20250520','80525','Y','3','');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2026-04-20T13:41:36Z</dcterms:modified>
</cp:coreProperties>
</file>