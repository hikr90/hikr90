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7"/>
  </bookViews>
  <sheets>
    <sheet name="MENU" sheetId="1" state="visible" r:id="rId2"/>
    <sheet name="ROLE" sheetId="2" state="visible" r:id="rId3"/>
    <sheet name="MENU_ROLE" sheetId="3" state="visible" r:id="rId4"/>
    <sheet name="EMP_ROLE" sheetId="4" state="visible" r:id="rId5"/>
    <sheet name="EMPINFO" sheetId="5" state="visible" r:id="rId6"/>
    <sheet name="ORG" sheetId="6" state="visible" r:id="rId7"/>
    <sheet name="RANK" sheetId="7" state="visible" r:id="rId8"/>
    <sheet name="TEMPLATE" sheetId="8" state="visible" r:id="rId9"/>
    <sheet name="PROJECT" sheetId="9" state="visible" r:id="rId10"/>
    <sheet name="COMMCODE" sheetId="10" state="visible" r:id="rId1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<sst xmlns="http://schemas.openxmlformats.org/spreadsheetml/2006/main" count="292" uniqueCount="292">
  <si>
    <t>MENU</t>
  </si>
  <si>
    <t>MENU_CD</t>
  </si>
  <si>
    <t>MENU_TYPE</t>
  </si>
  <si>
    <t>MENU_NM</t>
  </si>
  <si>
    <t>UPPR_MENU_CD</t>
  </si>
  <si>
    <t>MAPPING_ID</t>
  </si>
  <si>
    <t>USE_YN</t>
  </si>
  <si>
    <t>DISP_ORDER</t>
  </si>
  <si>
    <t>REMARK</t>
  </si>
  <si>
    <t>MENU_0001</t>
  </si>
  <si>
    <t>공유정보</t>
  </si>
  <si>
    <t>Y</t>
  </si>
  <si>
    <t>MENU_0002</t>
  </si>
  <si>
    <t>공지사항</t>
  </si>
  <si>
    <t>intrBoardInqy2010.do</t>
  </si>
  <si>
    <t>MENU_0003</t>
  </si>
  <si>
    <t xml:space="preserve">회의 관리</t>
  </si>
  <si>
    <t>intrMtgInqy1010.do</t>
  </si>
  <si>
    <t>MENU_0004</t>
  </si>
  <si>
    <t xml:space="preserve">일정 관리</t>
  </si>
  <si>
    <t>intrAprvInqy3010.do</t>
  </si>
  <si>
    <t>MENU_0005</t>
  </si>
  <si>
    <t>내부규정</t>
  </si>
  <si>
    <t>intrRegsInqy1010.do</t>
  </si>
  <si>
    <t>MENU_0006</t>
  </si>
  <si>
    <t>전자결재</t>
  </si>
  <si>
    <t>MENU_0007</t>
  </si>
  <si>
    <t xml:space="preserve">기안 작성</t>
  </si>
  <si>
    <t>intrAprvInqy1010.do</t>
  </si>
  <si>
    <t>MENU_0008</t>
  </si>
  <si>
    <t xml:space="preserve">결재 조회</t>
  </si>
  <si>
    <t>intrAprvInqy2010.do</t>
  </si>
  <si>
    <t>MENU_0009</t>
  </si>
  <si>
    <t xml:space="preserve">결재선 관리</t>
  </si>
  <si>
    <t>intrAprvInqy4010.do</t>
  </si>
  <si>
    <t>MENU_0010</t>
  </si>
  <si>
    <t xml:space="preserve">업무 관리</t>
  </si>
  <si>
    <t>MENU_0011</t>
  </si>
  <si>
    <t xml:space="preserve">업무일지 작성</t>
  </si>
  <si>
    <t>intrTaskInqy1010.do</t>
  </si>
  <si>
    <t>MENU_0012</t>
  </si>
  <si>
    <t xml:space="preserve">업무 캘린더</t>
  </si>
  <si>
    <t>intrTaskInqy3010.do</t>
  </si>
  <si>
    <t>MENU_0013</t>
  </si>
  <si>
    <t>인사정보</t>
  </si>
  <si>
    <t>MENU_0014</t>
  </si>
  <si>
    <t xml:space="preserve">사원 조회</t>
  </si>
  <si>
    <t>intrEmpInqy2010.do</t>
  </si>
  <si>
    <t>MENU_0015</t>
  </si>
  <si>
    <t xml:space="preserve">담당업무 조회</t>
  </si>
  <si>
    <t>intrEmpInqy3010.do</t>
  </si>
  <si>
    <t>MENU_0016</t>
  </si>
  <si>
    <t xml:space="preserve">공유정보 관리</t>
  </si>
  <si>
    <t>MENU_0017</t>
  </si>
  <si>
    <t xml:space="preserve">공지사항 관리</t>
  </si>
  <si>
    <t>intrBoardInqy1010.do</t>
  </si>
  <si>
    <t>MENU_0018</t>
  </si>
  <si>
    <t xml:space="preserve">배너 관리</t>
  </si>
  <si>
    <t>intrBanrInqy1010.do</t>
  </si>
  <si>
    <t>MENU_0019</t>
  </si>
  <si>
    <t xml:space="preserve">업무일지 조회</t>
  </si>
  <si>
    <t>intrTaskInqy2010.do</t>
  </si>
  <si>
    <t>MENU_0020</t>
  </si>
  <si>
    <t xml:space="preserve">전자결재 관리</t>
  </si>
  <si>
    <t>MENU_0021</t>
  </si>
  <si>
    <t xml:space="preserve">결재양식 관리</t>
  </si>
  <si>
    <t>intrTempInqy1010.do</t>
  </si>
  <si>
    <t>MENU_0022</t>
  </si>
  <si>
    <t xml:space="preserve">프로젝트 관리</t>
  </si>
  <si>
    <t>intrProjInqy1010.do</t>
  </si>
  <si>
    <t>MENU_0023</t>
  </si>
  <si>
    <t>MENU_0024</t>
  </si>
  <si>
    <t xml:space="preserve">사원 관리</t>
  </si>
  <si>
    <t>intrEmpInqy1010.do</t>
  </si>
  <si>
    <t>MENU_0025</t>
  </si>
  <si>
    <t xml:space="preserve">인사 통계</t>
  </si>
  <si>
    <t>intrEmpInqy4010.do</t>
  </si>
  <si>
    <t>MENU_0026</t>
  </si>
  <si>
    <t xml:space="preserve">시스템 관리</t>
  </si>
  <si>
    <t>MENU_0027</t>
  </si>
  <si>
    <t xml:space="preserve">권한 관리</t>
  </si>
  <si>
    <t>intrRoleInqy1010.do</t>
  </si>
  <si>
    <t>MENU_0028</t>
  </si>
  <si>
    <t xml:space="preserve">메뉴 권한 부여</t>
  </si>
  <si>
    <t>intrRoleInqy2010.do</t>
  </si>
  <si>
    <t>MENU_0029</t>
  </si>
  <si>
    <t xml:space="preserve">사용자 권한 부여</t>
  </si>
  <si>
    <t>intrRoleInqy3010.do</t>
  </si>
  <si>
    <t>MENU_0030</t>
  </si>
  <si>
    <t xml:space="preserve">쿼리 입력</t>
  </si>
  <si>
    <t>intrQueryInqy1010.do</t>
  </si>
  <si>
    <t>ROLE</t>
  </si>
  <si>
    <t>ROLE_CD</t>
  </si>
  <si>
    <t>ROLE_NM</t>
  </si>
  <si>
    <t>ROLE_0001</t>
  </si>
  <si>
    <t xml:space="preserve">관리자 권한</t>
  </si>
  <si>
    <t>Y</t>
  </si>
  <si>
    <t>ROLE_0002</t>
  </si>
  <si>
    <t xml:space="preserve">테스트 권한</t>
  </si>
  <si>
    <t>MENU_ROLE</t>
  </si>
  <si>
    <t>ROLE_CD</t>
  </si>
  <si>
    <t>ROLE_0001</t>
  </si>
  <si>
    <t>MENU_0025</t>
  </si>
  <si>
    <t>MENU_0028</t>
  </si>
  <si>
    <t>MENU_0029</t>
  </si>
  <si>
    <t>EMP_ROLE</t>
  </si>
  <si>
    <t>EMP_IDX</t>
  </si>
  <si>
    <t>EMP_0001</t>
  </si>
  <si>
    <t>EMP_INFO</t>
  </si>
  <si>
    <t>ORG_CD</t>
  </si>
  <si>
    <t>RANK_CD</t>
  </si>
  <si>
    <t>EMP_NM</t>
  </si>
  <si>
    <t>IS_MALE</t>
  </si>
  <si>
    <t>MOB_NO</t>
  </si>
  <si>
    <t>ADDR</t>
  </si>
  <si>
    <t>ADDR_INFO</t>
  </si>
  <si>
    <t>EMAIL</t>
  </si>
  <si>
    <t>EMP_ID</t>
  </si>
  <si>
    <t>EMP_PWD</t>
  </si>
  <si>
    <t>HIRE_DT</t>
  </si>
  <si>
    <t>LEAV_DT</t>
  </si>
  <si>
    <t>EMP_0001</t>
  </si>
  <si>
    <t>ORG_0001</t>
  </si>
  <si>
    <t>RANK_0001</t>
  </si>
  <si>
    <t>ADMIN</t>
  </si>
  <si>
    <t>01077945147</t>
  </si>
  <si>
    <t>jtax90@naver.com</t>
  </si>
  <si>
    <t>ORG</t>
  </si>
  <si>
    <t>ORG_NM</t>
  </si>
  <si>
    <t>UPPR_ORG_CD</t>
  </si>
  <si>
    <t>REG_DT</t>
  </si>
  <si>
    <t>REG_TM</t>
  </si>
  <si>
    <t>관리부</t>
  </si>
  <si>
    <t>000000</t>
  </si>
  <si>
    <t>ORG_0002</t>
  </si>
  <si>
    <t>경영지원부</t>
  </si>
  <si>
    <t>ORG_0003</t>
  </si>
  <si>
    <t>인사부</t>
  </si>
  <si>
    <t>ORG_0004</t>
  </si>
  <si>
    <t>재무/회계부</t>
  </si>
  <si>
    <t>ORG_0005</t>
  </si>
  <si>
    <t>마케팅부</t>
  </si>
  <si>
    <t>ORG_0006</t>
  </si>
  <si>
    <t>영업부</t>
  </si>
  <si>
    <t>ORG_0007</t>
  </si>
  <si>
    <t>기획부</t>
  </si>
  <si>
    <t>ORG_0008</t>
  </si>
  <si>
    <t>생산부</t>
  </si>
  <si>
    <t>ORG_0009</t>
  </si>
  <si>
    <t>연구개발부</t>
  </si>
  <si>
    <t>ORG_0010</t>
  </si>
  <si>
    <t>고객지원팀</t>
  </si>
  <si>
    <t>ORG_0011</t>
  </si>
  <si>
    <t>정보시스템팀</t>
  </si>
  <si>
    <t>ORG_0012</t>
  </si>
  <si>
    <t>품질관리부</t>
  </si>
  <si>
    <t>ORG_0013</t>
  </si>
  <si>
    <t>법무팀</t>
  </si>
  <si>
    <t>RANK</t>
  </si>
  <si>
    <t>RANK_NM</t>
  </si>
  <si>
    <t>관리자</t>
  </si>
  <si>
    <t>RANK_0002</t>
  </si>
  <si>
    <t>대표</t>
  </si>
  <si>
    <t>RANK_0003</t>
  </si>
  <si>
    <t>이사</t>
  </si>
  <si>
    <t>RANK_0004</t>
  </si>
  <si>
    <t>팀장</t>
  </si>
  <si>
    <t>RANK_0005</t>
  </si>
  <si>
    <t>부장</t>
  </si>
  <si>
    <t>RANK_0006</t>
  </si>
  <si>
    <t>차장</t>
  </si>
  <si>
    <t>RANK_0007</t>
  </si>
  <si>
    <t>과장</t>
  </si>
  <si>
    <t>RANK_0008</t>
  </si>
  <si>
    <t>대리</t>
  </si>
  <si>
    <t>RANK_0009</t>
  </si>
  <si>
    <t>주임</t>
  </si>
  <si>
    <t>RANK_0010</t>
  </si>
  <si>
    <t>사원</t>
  </si>
  <si>
    <t>TEMPLATE</t>
  </si>
  <si>
    <t>TEMP_CD</t>
  </si>
  <si>
    <t>TEMP_NM</t>
  </si>
  <si>
    <t>TEMPTYPE_CD</t>
  </si>
  <si>
    <t>TEMP_CONT</t>
  </si>
  <si>
    <t>REG_MAPPING_ID</t>
  </si>
  <si>
    <t>DET_MAPPING_ID</t>
  </si>
  <si>
    <t>TEMP_0001</t>
  </si>
  <si>
    <t xml:space="preserve">휴가 신청서</t>
  </si>
  <si>
    <t>LEAV</t>
  </si>
  <si>
    <t xml:space="preserve">&lt;p style="text-align:center"&gt;&lt;span style="font-size:10pt"&gt;&lt;strong&gt;&lt;span style="font-size:16.0pt"&gt;휴가 신청서&lt;/span&gt;&lt;/strong&gt;&lt;/span&gt;&lt;/p&gt;
&lt;table align="center" cellspacing="0" class="MsoTableGrid" style="border-collapse:collapse; border:none; width:603px"&gt;
	&lt;tbody&gt;
		&lt;tr&gt;
			&lt;td style="border-color:#0d0d0d; border-style:solid; border-width:1px; height:57px; width:200px"&gt;
			&lt;p style="text-align:center"&gt;&lt;span style="font-size:10pt"&gt;소&amp;nbsp; 속&lt;/span&gt;&lt;/p&gt;
			&lt;/td&gt;
			&lt;td colspan="3" style="border-bottom:1px solid #0d0d0d; border-left:none; border-right:1px solid #0d0d0d; border-top:1px solid #0d0d0d; height:57px; width:518px"&gt;
			&lt;p style="text-align:center"&gt;&amp;nbsp;&lt;/p&gt;
			&lt;/td&gt;
		&lt;/tr&gt;
		&lt;tr&gt;
			&lt;td style="border-bottom:1px solid #0d0d0d; border-left:1px solid #0d0d0d; border-right:1px solid #0d0d0d; border-top:none; height:57px; width:200px"&gt;
			&lt;p style="text-align:center"&gt;&lt;span style="font-size:10pt"&gt;성&amp;nbsp; 명&lt;/span&gt;&lt;/p&gt;
			&lt;/td&gt;
			&lt;td style="border-bottom:1px solid #0d0d0d; border-left:none; border-right:1px solid #0d0d0d; border-top:none; height:57px; width:518px"&gt;
			&lt;p style="text-align:center"&gt;&amp;nbsp;&lt;/p&gt;
			&lt;/td&gt;
			&lt;td style="border-bottom:1px solid #0d0d0d; border-left:none; border-right:1px solid #0d0d0d; border-top:none; height:57px; text-align:center; width:200px"&gt;직&amp;nbsp; 급&lt;/td&gt;
			&lt;td style="border-bottom:1px solid #0d0d0d; border-left:none; border-right:1px solid #0d0d0d; border-top:none; height:57px; text-align:center; width:518px"&gt;&amp;nbsp;&lt;/td&gt;
		&lt;/tr&gt;
		&lt;tr&gt;
			&lt;td style="border-bottom:1px solid #0d0d0d; border-left:1px solid #0d0d0d; border-right:1px solid #0d0d0d; border-top:none; height:57px; width:200px"&gt;
			&lt;p style="text-align:center"&gt;&lt;span style="font-size:10pt"&gt;구 &amp;nbsp;분&lt;/span&gt;&lt;/p&gt;
			&lt;/td&gt;
			&lt;td colspan="3" style="border-bottom:1px solid #0d0d0d; border-left:none; border-right:1px solid #0d0d0d; border-top:none; height:57px; width:518px"&gt;
			&lt;p style="text-align:center"&gt;&lt;span style="font-size:10pt"&gt;( ) 연차 ( ) 병가 ( ) 경조휴가 ( ) 반차 ( ) 기타&lt;/span&gt;&lt;/p&gt;
			&lt;/td&gt;
		&lt;/tr&gt;
		&lt;tr&gt;
			&lt;td style="border-bottom:1px solid #0d0d0d; border-left:1px solid #0d0d0d; border-right:1px solid #0d0d0d; border-top:none; height:57px; width:200px"&gt;
			&lt;p style="text-align:center"&gt;&lt;span style="font-size:10pt"&gt;기 &amp;nbsp;간&lt;/span&gt;&lt;/p&gt;
			&lt;/td&gt;
			&lt;td colspan="3" style="border-bottom:1px solid #0d0d0d; border-left:none; border-right:1px solid #0d0d0d; border-top:none; height:57px; width:518px"&gt;
			&lt;p style="text-align:center"&gt;&lt;span style="font-size:10pt"&gt;OOOO년 OO월 OO일 ~ OOOO년 OO월 OO일 (O일간)&lt;/span&gt;&lt;/p&gt;
			&lt;/td&gt;
		&lt;/tr&gt;
		&lt;tr&gt;
			&lt;td style="border-bottom:1px solid #0d0d0d; border-left:1px solid #0d0d0d; border-right:1px solid #0d0d0d; border-top:none; height:57px; width:200px"&gt;&amp;nbsp; &amp;nbsp; &amp;nbsp; 사&amp;nbsp; 유&lt;/td&gt;
			&lt;td colspan="3" style="border-bottom:1px solid #0d0d0d; border-left:none; border-right:1px solid #0d0d0d; border-top:none; height:57px; width:518px"&gt;&amp;nbsp;&lt;/td&gt;
		&lt;/tr&gt;
		&lt;tr&gt;
			&lt;td colspan="4" style="border-bottom:1px solid #0d0d0d; border-left:1px solid #0d0d0d; border-right:1px solid #0d0d0d; border-top:none; height:317px; width:603px"&gt;
			&lt;p style="text-align:center"&gt;&lt;span style="font-size:10pt"&gt;위와 같이 휴가를 신청하오니 허락하여 주시기 바랍니다.&lt;/span&gt;&lt;/p&gt;
			&lt;p style="text-align:center"&gt;&lt;span style="font-size:10pt"&gt;OOOO년 &amp;nbsp;&amp;nbsp;&amp;nbsp;OO월 &amp;nbsp;&amp;nbsp;&amp;nbsp;OO일&lt;/span&gt;&lt;/p&gt;
			&lt;p style="text-align:center"&gt;&amp;nbsp;&lt;/p&gt;
			&lt;p style="margin-left:253px; text-align:center"&gt;&lt;span style="font-size:10pt"&gt;성명 : O&amp;nbsp; O&amp;nbsp; O&amp;nbsp; (인)&lt;/span&gt;&lt;/p&gt;
			&lt;/td&gt;
		&lt;/tr&gt;
	&lt;/tbody&gt;
&lt;/table&gt;</t>
  </si>
  <si>
    <t>intrAprvInqy1020.do</t>
  </si>
  <si>
    <t>intrAprvInqy2020.do</t>
  </si>
  <si>
    <t>TEMP_0002</t>
  </si>
  <si>
    <t>가지급결의서</t>
  </si>
  <si>
    <t>EXP</t>
  </si>
  <si>
    <t xml:space="preserve">&lt;p style="text-align:center"&gt;&lt;span style="font-size:10pt"&gt;&lt;strong&gt;&lt;span style="font-size:16.0pt"&gt;가지급결의서&lt;/span&gt;&lt;/strong&gt;&lt;/span&gt;&lt;/p&gt;
&lt;table align="center" cellspacing="0" class="MsoTableGrid" style="border-collapse:collapse; border:none; width:603px"&gt;
	&lt;tbody&gt;
		&lt;tr&gt;
			&lt;td style="border-color:#0d0d0d; border-style:solid; border-width:1px; height:57px; width:200px"&gt;
			&lt;p style="text-align:center"&gt;&lt;span style="font-size:10pt"&gt;소&amp;nbsp; 속&lt;/span&gt;&lt;/p&gt;
			&lt;/td&gt;
			&lt;td colspan="3" style="border-bottom:1px solid #0d0d0d; border-left:none; border-right:1px solid #0d0d0d; border-top:1px solid #0d0d0d; height:57px; width:518px"&gt;
			&lt;p style="text-align:center"&gt;&amp;nbsp;&lt;/p&gt;
			&lt;/td&gt;
		&lt;/tr&gt;
		&lt;tr&gt;
			&lt;td style="border-bottom:1px solid #0d0d0d; border-left:1px solid #0d0d0d; border-right:1px solid #0d0d0d; border-top:none; height:57px; width:200px"&gt;
			&lt;p style="text-align:center"&gt;&lt;span style="font-size:13.3333px"&gt;성&amp;nbsp; 명&lt;/span&gt;&lt;/p&gt;
			&lt;/td&gt;
			&lt;td style="border-bottom:1px solid #0d0d0d; border-left:none; border-right:1px solid #0d0d0d; border-top:none; height:57px; width:518px"&gt;
			&lt;p style="text-align:center"&gt;&amp;nbsp;&lt;/p&gt;
			&lt;/td&gt;
			&lt;td style="border-bottom:1px solid #0d0d0d; border-left:none; border-right:1px solid #0d0d0d; border-top:none; height:57px; text-align:center; width:200px"&gt;직&amp;nbsp; 급&lt;/td&gt;
			&lt;td style="border-bottom:1px solid #0d0d0d; border-left:none; border-right:1px solid #0d0d0d; border-top:none; height:57px; text-align:center; width:518px"&gt;&amp;nbsp;&lt;/td&gt;
		&lt;/tr&gt;
		&lt;tr&gt;
			&lt;td style="border-bottom:1px solid #0d0d0d; border-left:1px solid #0d0d0d; border-right:1px solid #0d0d0d; border-top:none; height:57px; width:200px"&gt;
			&lt;p style="text-align:center"&gt;&lt;span style="font-size:13.3333px"&gt;청구 금액&lt;/span&gt;&lt;/p&gt;
			&lt;/td&gt;
			&lt;td style="border-bottom:1px solid #0d0d0d; border-left:none; border-right:1px solid #0d0d0d; border-top:none; height:57px; width:518px"&gt;
			&lt;p&gt;&lt;span style="font-size:13.3333px"&gt;&amp;nbsp; &amp;nbsp; &amp;nbsp;일금 (\&amp;nbsp; &amp;nbsp; &amp;nbsp; &amp;nbsp; &amp;nbsp; &amp;nbsp; &amp;nbsp; &amp;nbsp; &amp;nbsp; &amp;nbsp; &amp;nbsp; &amp;nbsp;)&lt;/span&gt;&lt;/p&gt;
			&lt;/td&gt;
			&lt;td style="border-bottom:1px solid #0d0d0d; border-left:none; border-right:1px solid #0d0d0d; border-top:none; height:57px; text-align:center; width:200px"&gt;지급 방법&lt;/td&gt;
			&lt;td style="border-bottom:1px solid #0d0d0d; border-left:none; border-right:1px solid #0d0d0d; border-top:none; height:57px; text-align:center; width:518px"&gt;( ) 현금 ( ) 개인카드 ( ) 전도금&lt;/td&gt;
		&lt;/tr&gt;
		&lt;tr&gt;
			&lt;td style="border-bottom:1px solid #0d0d0d; border-left:1px solid #0d0d0d; border-right:1px solid #0d0d0d; border-top:none; height:57px; width:200px"&gt;
			&lt;p style="text-align:center"&gt;&lt;span style="font-size:13.3333px"&gt;지급 일자&lt;/span&gt;&lt;/p&gt;
			&lt;/td&gt;
			&lt;td colspan="3" style="border-bottom:1px solid #0d0d0d; border-left:none; border-right:1px solid #0d0d0d; border-top:none; height:57px; width:518px"&gt;
			&lt;p style="text-align:center"&gt;&lt;span style="font-size:10pt"&gt;OOOO년 OO월 OO일&lt;/span&gt;&lt;/p&gt;
			&lt;/td&gt;
		&lt;/tr&gt;
		&lt;tr&gt;
			&lt;td style="border-bottom:1px solid #0d0d0d; border-left:1px solid #0d0d0d; border-right:1px solid #0d0d0d; border-top:none; height:57px; width:200px"&gt;&amp;nbsp; &amp;nbsp; &amp;nbsp;사&amp;nbsp; 유&lt;/td&gt;
			&lt;td colspan="3" style="border-bottom:1px solid #0d0d0d; border-left:none; border-right:1px solid #0d0d0d; border-top:none; height:57px; text-align:center; width:518px"&gt;&amp;nbsp;&lt;/td&gt;
		&lt;/tr&gt;
		&lt;tr&gt;
			&lt;td colspan="4" style="border-bottom:1px solid #0d0d0d; border-left:1px solid #0d0d0d; border-right:1px solid #0d0d0d; border-top:none; height:317px; width:603px"&gt;
			&lt;p style="text-align:center"&gt;&lt;span style="font-size:10pt"&gt;위의 금액을 정히 청구하오니 지급하여 주십시오.&lt;/span&gt;&lt;/p&gt;
			&lt;p style="text-align:center"&gt;&lt;span style="font-size:10pt"&gt;OOOO년 &amp;nbsp;&amp;nbsp;&amp;nbsp;OO월 &amp;nbsp;&amp;nbsp;&amp;nbsp;OO일&lt;/span&gt;&lt;/p&gt;
			&lt;p style="text-align:center"&gt;&amp;nbsp;&lt;/p&gt;
			&lt;p style="margin-left:253px; text-align:center"&gt;&lt;span style="font-size:10pt"&gt;성명 : O&amp;nbsp; O&amp;nbsp; O&amp;nbsp; (인)&lt;/span&gt;&lt;/p&gt;
			&lt;/td&gt;
		&lt;/tr&gt;
	&lt;/tbody&gt;
&lt;/table&gt;</t>
  </si>
  <si>
    <t>intrAprvInqy1021.do</t>
  </si>
  <si>
    <t>intrAprvInqy2021.do</t>
  </si>
  <si>
    <t>TEMP_0003</t>
  </si>
  <si>
    <t xml:space="preserve">물품반출입 신청서</t>
  </si>
  <si>
    <t>ITEM</t>
  </si>
  <si>
    <t xml:space="preserve">&lt;p style="text-align:center"&gt;&lt;span style="font-size:10pt"&gt;&lt;strong&gt;&lt;span style="font-size:16.0pt"&gt;물품반출입 신청서&lt;/span&gt;&lt;/strong&gt;&lt;/span&gt;&lt;/p&gt;
&lt;table align="center" cellspacing="0" class="MsoTableGrid" style="border-collapse:collapse; border:none; width:603px"&gt;
	&lt;tbody&gt;
		&lt;tr&gt;
			&lt;td style="border-color:#0d0d0d; border-style:solid; border-width:1px; height:57px; width:200px"&gt;
			&lt;p style="text-align:center"&gt;&lt;span style="font-size:10pt"&gt;소&amp;nbsp; 속&lt;/span&gt;&lt;/p&gt;
			&lt;/td&gt;
			&lt;td colspan="3" style="border-bottom:1px solid #0d0d0d; border-left:none; border-right:1px solid #0d0d0d; border-top:1px solid #0d0d0d; height:57px; width:518px"&gt;
			&lt;p style="text-align:center"&gt;&amp;nbsp;&lt;/p&gt;
			&lt;/td&gt;
		&lt;/tr&gt;
		&lt;tr&gt;
			&lt;td style="border-bottom:1px solid #0d0d0d; border-left:1px solid #0d0d0d; border-right:1px solid #0d0d0d; border-top:none; height:57px; width:200px"&gt;
			&lt;p style="text-align:center"&gt;&lt;span style="font-size:13.3333px"&gt;성&amp;nbsp; 명&lt;/span&gt;&lt;/p&gt;
			&lt;/td&gt;
			&lt;td style="border-bottom:1px solid #0d0d0d; border-left:none; border-right:1px solid #0d0d0d; border-top:none; height:57px; width:518px"&gt;
			&lt;p style="text-align:center"&gt;&amp;nbsp;&lt;/p&gt;
			&lt;/td&gt;
			&lt;td style="border-bottom:1px solid #0d0d0d; border-left:none; border-right:1px solid #0d0d0d; border-top:none; height:57px; text-align:center; width:200px"&gt;직&amp;nbsp; 급&lt;/td&gt;
			&lt;td style="border-bottom:1px solid #0d0d0d; border-left:none; border-right:1px solid #0d0d0d; border-top:none; height:57px; text-align:center; width:518px"&gt;&amp;nbsp;&lt;/td&gt;
		&lt;/tr&gt;
		&lt;tr&gt;
			&lt;td style="border-bottom:1px solid #0d0d0d; border-left:1px solid #0d0d0d; border-right:1px solid #0d0d0d; border-top:none; height:57px; width:200px"&gt;
			&lt;p style="text-align:center"&gt;구&amp;nbsp; 분&lt;/p&gt;
			&lt;/td&gt;
			&lt;td style="border-bottom:1px solid #0d0d0d; border-left:none; border-right:1px solid #0d0d0d; border-top:none; height:57px; width:518px"&gt;
			&lt;p style="text-align:center"&gt;&amp;nbsp;&lt;/p&gt;
			&lt;/td&gt;
			&lt;td style="border-bottom:1px solid #0d0d0d; border-left:none; border-right:1px solid #0d0d0d; border-top:none; height:57px; text-align:center; width:200px"&gt;물&amp;nbsp; 품&lt;/td&gt;
			&lt;td style="border-bottom:1px solid #0d0d0d; border-left:none; border-right:1px solid #0d0d0d; border-top:none; height:57px; width:518px"&gt;&amp;nbsp;&lt;/td&gt;
		&lt;/tr&gt;
		&lt;tr&gt;
			&lt;td style="border-bottom:1px solid #0d0d0d; border-left:1px solid #0d0d0d; border-right:1px solid #0d0d0d; border-top:none; height:57px; width:200px"&gt;
			&lt;p style="text-align:center"&gt;&lt;span style="font-size:13.3333px"&gt;반출일&lt;/span&gt;&lt;/p&gt;
			&lt;/td&gt;
			&lt;td colspan="3" style="border-bottom:1px solid #0d0d0d; border-left:none; border-right:1px solid #0d0d0d; border-top:none; height:57px; width:518px"&gt;
			&lt;p style="text-align:center"&gt;&lt;span style="font-size:10pt"&gt;OOOO년 OO월 OO일&lt;/span&gt;&lt;/p&gt;
			&lt;/td&gt;
		&lt;/tr&gt;
		&lt;tr&gt;
			&lt;td style="border-bottom:1px solid #0d0d0d; border-left:1px solid #0d0d0d; border-right:1px solid #0d0d0d; border-top:none; height:57px; width:200px"&gt;&amp;nbsp; &amp;nbsp; &amp;nbsp;사&amp;nbsp; 유&lt;/td&gt;
			&lt;td colspan="3" style="border-bottom:1px solid #0d0d0d; border-left:none; border-right:1px solid #0d0d0d; border-top:none; height:57px; text-align:center; width:518px"&gt;&amp;nbsp;&lt;/td&gt;
		&lt;/tr&gt;
		&lt;tr&gt;
			&lt;td colspan="4" style="border-bottom:1px solid #0d0d0d; border-left:1px solid #0d0d0d; border-right:1px solid #0d0d0d; border-top:none; height:317px; width:603px"&gt;
			&lt;p style="text-align:center"&gt;&lt;span style="font-size:10pt"&gt;위와 같이 물품반출입을 신청하오니 허락하여 주시기 바랍니다.&lt;/span&gt;&lt;/p&gt;
			&lt;p style="text-align:center"&gt;&lt;span style="font-size:10pt"&gt;OOOO년 &amp;nbsp;&amp;nbsp;&amp;nbsp;OO월 &amp;nbsp;&amp;nbsp;&amp;nbsp;OO일&lt;/span&gt;&lt;/p&gt;
			&lt;p style="text-align:center"&gt;&amp;nbsp;&lt;/p&gt;
			&lt;p style="margin-left:253px; text-align:center"&gt;&lt;span style="font-size:10pt"&gt;성명 : O&amp;nbsp; O&amp;nbsp; O&amp;nbsp; (인)&lt;/span&gt;&lt;/p&gt;
			&lt;/td&gt;
		&lt;/tr&gt;
	&lt;/tbody&gt;
&lt;/table&gt;</t>
  </si>
  <si>
    <t>intrAprvInqy1022.do</t>
  </si>
  <si>
    <t>intrAprvInqy2022.do</t>
  </si>
  <si>
    <t>TEMP_0004</t>
  </si>
  <si>
    <t xml:space="preserve">법인카드 정산서</t>
  </si>
  <si>
    <t>CORP</t>
  </si>
  <si>
    <t xml:space="preserve">&lt;p style="text-align:center"&gt;&lt;span style="font-size:10pt"&gt;&lt;strong&gt;&lt;span style="font-size:16.0pt"&gt;법인카드 정산서&lt;/span&gt;&lt;/strong&gt;&lt;/span&gt;&lt;/p&gt;
&lt;table align="center" cellspacing="0" class="MsoTableGrid" style="border-collapse:collapse; border:none; width:603px"&gt;
	&lt;tbody&gt;
		&lt;tr&gt;
			&lt;td style="border-color:#0d0d0d; border-style:solid; border-width:1px; height:57px; width:200px"&gt;
			&lt;p style="text-align:center"&gt;&lt;span style="font-size:10pt"&gt;소&amp;nbsp; 속&lt;/span&gt;&lt;/p&gt;
			&lt;/td&gt;
			&lt;td colspan="3" style="border-bottom:1px solid #0d0d0d; border-left:none; border-right:1px solid #0d0d0d; border-top:1px solid #0d0d0d; height:57px; width:518px"&gt;
			&lt;p style="text-align:center"&gt;&amp;nbsp;&lt;/p&gt;
			&lt;/td&gt;
		&lt;/tr&gt;
		&lt;tr&gt;
			&lt;td style="border-bottom:1px solid #0d0d0d; border-left:1px solid #0d0d0d; border-right:1px solid #0d0d0d; border-top:none; height:57px; width:200px"&gt;
			&lt;p style="text-align:center"&gt;&lt;span style="font-size:13.3333px"&gt;성&amp;nbsp; 함&lt;/span&gt;&lt;/p&gt;
			&lt;/td&gt;
			&lt;td style="border-bottom:1px solid #0d0d0d; border-left:none; border-right:1px solid #0d0d0d; border-top:none; height:57px; width:518px"&gt;
			&lt;p style="text-align:center"&gt;&amp;nbsp;&lt;/p&gt;
			&lt;/td&gt;
			&lt;td style="border-bottom:1px solid #0d0d0d; border-left:none; border-right:1px solid #0d0d0d; border-top:none; height:57px; text-align:center; width:200px"&gt;직&amp;nbsp; 급&lt;/td&gt;
			&lt;td style="border-bottom:1px solid #0d0d0d; border-left:none; border-right:1px solid #0d0d0d; border-top:none; height:57px; text-align:center; width:518px"&gt;&amp;nbsp;&lt;/td&gt;
		&lt;/tr&gt;
		&lt;tr&gt;
			&lt;td style="border-bottom:1px solid #0d0d0d; border-left:1px solid #0d0d0d; border-right:1px solid #0d0d0d; border-top:none; height:57px; width:200px"&gt;
			&lt;p style="text-align:center"&gt;&lt;span style="font-size:13.3333px"&gt;사용 카드&lt;/span&gt;&lt;/p&gt;
			&lt;/td&gt;
			&lt;td colspan="3" rowspan="1" style="border-bottom:1px solid #0d0d0d; border-left:none; border-right:1px solid #0d0d0d; border-top:none; height:57px; width:518px"&gt;
			&lt;p style="text-align:center"&gt;(카드 회사 / 번호)&lt;/p&gt;
			&lt;/td&gt;
		&lt;/tr&gt;
		&lt;tr&gt;
			&lt;td style="border-bottom:1px solid #0d0d0d; border-left:1px solid #0d0d0d; border-right:1px solid #0d0d0d; border-top:none; height:57px; width:200px"&gt;
			&lt;p style="text-align:center"&gt;&lt;span style="font-size:10pt"&gt;사용 기간&lt;/span&gt;&lt;/p&gt;
			&lt;/td&gt;
			&lt;td colspan="3" style="border-bottom:1px solid #0d0d0d; border-left:none; border-right:1px solid #0d0d0d; border-top:none; height:57px; width:518px"&gt;
			&lt;p style="text-align:center"&gt;&lt;span style="font-size:10pt"&gt;OOOO년 OO월 OO일 ~ OOOO년 OO월 OO일&lt;/span&gt;&lt;/p&gt;
			&lt;/td&gt;
		&lt;/tr&gt;
		&lt;tr&gt;
			&lt;td style="border-bottom:1px solid #0d0d0d; border-left:1px solid #0d0d0d; border-right:1px solid #0d0d0d; border-top:none; height:57px; width:200px"&gt;&amp;nbsp; 총 사용금액&lt;/td&gt;
			&lt;td colspan="3" style="border-bottom:1px solid #0d0d0d; border-left:none; border-right:1px solid #0d0d0d; border-top:none; height:57px; text-align:center; width:518px"&gt;(\&amp;nbsp; &amp;nbsp; &amp;nbsp; &amp;nbsp; &amp;nbsp; &amp;nbsp; &amp;nbsp; &amp;nbsp; &amp;nbsp; &amp;nbsp; )&lt;/td&gt;
		&lt;/tr&gt;
		&lt;tr&gt;
			&lt;td colspan="4" style="border-bottom:1px solid #0d0d0d; border-left:1px solid #0d0d0d; border-right:1px solid #0d0d0d; border-top:none; height:317px; width:603px"&gt;
			&lt;p style="text-align:center"&gt;&lt;span style="font-size:10pt"&gt;위와 같이 법인카드 월간 사용금액을 보고하오니 확인하여 주십시오.&lt;/span&gt;&lt;/p&gt;
			&lt;p style="text-align:center"&gt;&lt;span style="font-size:10pt"&gt;OOOO년 &amp;nbsp;&amp;nbsp;&amp;nbsp;OO월 &amp;nbsp;&amp;nbsp;&amp;nbsp;OO일&lt;/span&gt;&lt;/p&gt;
			&lt;p style="text-align:center"&gt;&amp;nbsp;&lt;/p&gt;
			&lt;p style="margin-left:253px; text-align:center"&gt;&lt;span style="font-size:10pt"&gt;성명 : O&amp;nbsp; O&amp;nbsp; O&amp;nbsp; (인)&lt;/span&gt;&lt;/p&gt;
			&lt;/td&gt;
		&lt;/tr&gt;
	&lt;/tbody&gt;
&lt;/table&gt;</t>
  </si>
  <si>
    <t>intrAprvInqy1023.do</t>
  </si>
  <si>
    <t>intrAprvInqy2023.do</t>
  </si>
  <si>
    <t>PROJECT</t>
  </si>
  <si>
    <t>PROJ_CD</t>
  </si>
  <si>
    <t>PROJ_TITLE</t>
  </si>
  <si>
    <t>PROJ_CONT</t>
  </si>
  <si>
    <t>PROJ_SDT</t>
  </si>
  <si>
    <t>PROJ_EDT</t>
  </si>
  <si>
    <t>STATUS</t>
  </si>
  <si>
    <t>OWNER</t>
  </si>
  <si>
    <t>DEPOSIT</t>
  </si>
  <si>
    <t>TAG</t>
  </si>
  <si>
    <t>PROJ_0001</t>
  </si>
  <si>
    <t xml:space="preserve">내부 프로젝트</t>
  </si>
  <si>
    <t>STAT_0020</t>
  </si>
  <si>
    <t>COMMCODE</t>
  </si>
  <si>
    <t>COMMCODE_CD</t>
  </si>
  <si>
    <t>COMMCODE_NM</t>
  </si>
  <si>
    <t>COMMCODE_GCD</t>
  </si>
  <si>
    <t>HIRE_0010</t>
  </si>
  <si>
    <t>HIRE</t>
  </si>
  <si>
    <t>HIRE_0020</t>
  </si>
  <si>
    <t>N</t>
  </si>
  <si>
    <t>STAT_0010</t>
  </si>
  <si>
    <t>진행</t>
  </si>
  <si>
    <t>STAT</t>
  </si>
  <si>
    <t>STAT_0020</t>
  </si>
  <si>
    <t>완료</t>
  </si>
  <si>
    <t>STAT</t>
  </si>
  <si>
    <t>STAT_0030</t>
  </si>
  <si>
    <t>보류</t>
  </si>
  <si>
    <t>LEAV_0010</t>
  </si>
  <si>
    <t>연차</t>
  </si>
  <si>
    <t>LEAV</t>
  </si>
  <si>
    <t>LEAV_0020</t>
  </si>
  <si>
    <t>병가</t>
  </si>
  <si>
    <t>LEAV_0030</t>
  </si>
  <si>
    <t>경조휴가</t>
  </si>
  <si>
    <t>LEAV_0040</t>
  </si>
  <si>
    <t>반차</t>
  </si>
  <si>
    <t>LEAV_0050</t>
  </si>
  <si>
    <t>기타</t>
  </si>
  <si>
    <t>PAY_0010</t>
  </si>
  <si>
    <t>현금</t>
  </si>
  <si>
    <t>PAY</t>
  </si>
  <si>
    <t>PAY_0020</t>
  </si>
  <si>
    <t>개인카드</t>
  </si>
  <si>
    <t>PAY_0030</t>
  </si>
  <si>
    <t>전도금</t>
  </si>
  <si>
    <t>TYPE_0010</t>
  </si>
  <si>
    <t>기안</t>
  </si>
  <si>
    <t>TYPE</t>
  </si>
  <si>
    <t>TYPE_0020</t>
  </si>
  <si>
    <t>결재</t>
  </si>
  <si>
    <t>TYPE_0030</t>
  </si>
  <si>
    <t>참조</t>
  </si>
  <si>
    <t>REQ_0010</t>
  </si>
  <si>
    <t>반입</t>
  </si>
  <si>
    <t>REQ</t>
  </si>
  <si>
    <t>REQ_0020</t>
  </si>
  <si>
    <t>반출</t>
  </si>
  <si>
    <t>STEP_0010</t>
  </si>
  <si>
    <t>결재진행중</t>
  </si>
  <si>
    <t>STEP</t>
  </si>
  <si>
    <t>STEP_0020</t>
  </si>
  <si>
    <t>결재완료</t>
  </si>
  <si>
    <t>STEP_0030</t>
  </si>
  <si>
    <t>결재반송</t>
  </si>
  <si>
    <t>STEP_0040</t>
  </si>
  <si>
    <t>결재취소</t>
  </si>
  <si>
    <t>RSLT_0010</t>
  </si>
  <si>
    <t>승인</t>
  </si>
  <si>
    <t>RSLT</t>
  </si>
  <si>
    <t>RSLT_0020</t>
  </si>
  <si>
    <t>반송</t>
  </si>
  <si>
    <t>RSLT_0030</t>
  </si>
  <si>
    <t>취소</t>
  </si>
  <si>
    <t>LOC_0010</t>
  </si>
  <si>
    <t xml:space="preserve">회의실 (대)</t>
  </si>
  <si>
    <t>LOC</t>
  </si>
  <si>
    <t>LOC_0020</t>
  </si>
  <si>
    <t xml:space="preserve">회의실 (중)</t>
  </si>
  <si>
    <t>LOC_0030</t>
  </si>
  <si>
    <t xml:space="preserve">회의실 (소)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</si>
</sst>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₩&quot;#,##0;[Red]\-&quot;₩&quot;#,##0"/>
  </numFmts>
  <fonts count="3">
    <font>
      <sz val="11.000000"/>
      <color theme="1"/>
      <name val="Calibri"/>
      <scheme val="minor"/>
    </font>
    <font>
      <i/>
      <sz val="11.000000"/>
      <color theme="1"/>
      <name val="Calibri"/>
      <scheme val="minor"/>
    </font>
    <font>
      <i/>
      <sz val="10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17">
    <xf fontId="0" fillId="0" borderId="0" numFmtId="0" xfId="0" applyAlignment="1">
      <alignment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1" fillId="0" borderId="1" numFmtId="0" xfId="0" applyFont="1" applyBorder="1" applyAlignment="1">
      <alignment horizontal="left" vertical="center"/>
    </xf>
    <xf fontId="1" fillId="2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1" fillId="0" borderId="0" numFmtId="0" xfId="0" applyFont="1" applyAlignment="1">
      <alignment horizontal="left" vertical="center"/>
    </xf>
    <xf fontId="1" fillId="0" borderId="1" numFmtId="49" xfId="0" applyNumberFormat="1" applyFont="1" applyBorder="1" applyAlignment="1">
      <alignment horizontal="center" vertical="center"/>
    </xf>
    <xf fontId="2" fillId="0" borderId="0" numFmtId="0" xfId="0" applyFont="1" applyAlignment="1">
      <alignment horizontal="center" vertical="center"/>
    </xf>
    <xf fontId="2" fillId="0" borderId="0" numFmtId="0" xfId="0" applyFont="1" applyAlignment="1">
      <alignment vertical="center"/>
    </xf>
    <xf fontId="2" fillId="0" borderId="1" numFmtId="0" xfId="0" applyFont="1" applyBorder="1" applyAlignment="1">
      <alignment horizontal="left" vertical="center"/>
    </xf>
    <xf fontId="2" fillId="2" borderId="1" numFmtId="0" xfId="0" applyFont="1" applyFill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 wrapText="1"/>
    </xf>
    <xf fontId="2" fillId="0" borderId="0" numFmtId="0" xfId="0" applyFont="1" applyAlignment="1">
      <alignment horizontal="left" vertical="center"/>
    </xf>
    <xf fontId="2" fillId="0" borderId="1" numFmtId="164" xfId="0" applyNumberFormat="1" applyFont="1" applyBorder="1" applyAlignment="1">
      <alignment horizontal="center" vertical="center"/>
    </xf>
    <xf fontId="2" fillId="0" borderId="1" numFmtId="49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theme" Target="theme/theme1.xml"/><Relationship  Id="rId13" Type="http://schemas.openxmlformats.org/officeDocument/2006/relationships/sharedStrings" Target="sharedStrings.xml"/><Relationship  Id="rId14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2" activeCellId="0" sqref="C12"/>
    </sheetView>
  </sheetViews>
  <sheetFormatPr defaultRowHeight="14.25"/>
  <cols>
    <col customWidth="1" min="1" max="2" style="1" width="15.625"/>
    <col bestFit="1" customWidth="1" min="3" max="3" style="1" width="21.5"/>
    <col customWidth="1" min="4" max="4" style="1" width="15.625"/>
    <col bestFit="1" customWidth="1" min="5" max="5" style="1" width="21.625"/>
    <col customWidth="1" min="6" max="8" style="1" width="15.625"/>
    <col min="9" max="9" style="1" width="9"/>
    <col customWidth="1" min="10" max="10" style="1" width="9"/>
    <col min="11" max="16384" style="1" width="9"/>
  </cols>
  <sheetData>
    <row r="1" s="2" customFormat="1">
      <c r="A1" s="3" t="s">
        <v>0</v>
      </c>
      <c r="B1" s="3"/>
      <c r="C1" s="3"/>
      <c r="D1" s="3"/>
      <c r="E1" s="3"/>
      <c r="F1" s="3"/>
      <c r="G1" s="3"/>
      <c r="H1" s="3"/>
    </row>
    <row r="2" s="2" customForma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5" t="s">
        <v>9</v>
      </c>
      <c r="B3" s="5">
        <v>0</v>
      </c>
      <c r="C3" s="5" t="s">
        <v>10</v>
      </c>
      <c r="D3" s="5"/>
      <c r="E3" s="5"/>
      <c r="F3" s="5" t="s">
        <v>11</v>
      </c>
      <c r="G3" s="5">
        <v>1</v>
      </c>
      <c r="H3" s="5"/>
      <c r="J3" s="6" t="str">
        <f t="shared" ref="J3:J32" si="0">"INSERT INTO "&amp;$A$1&amp;" VALUES('"&amp;A3&amp;"','"&amp;B3&amp;"','"&amp;C3&amp;"','"&amp;D3&amp;"','"&amp;E3&amp;"','"&amp;F3&amp;"','"&amp;G3&amp;"','"&amp;H3&amp;"');"</f>
        <v xml:space="preserve">INSERT INTO MENU VALUES('MENU_0001','0','공유정보','','','Y','1','');</v>
      </c>
    </row>
    <row r="4">
      <c r="A4" s="5" t="s">
        <v>12</v>
      </c>
      <c r="B4" s="5">
        <v>0</v>
      </c>
      <c r="C4" s="5" t="s">
        <v>13</v>
      </c>
      <c r="D4" s="5" t="s">
        <v>9</v>
      </c>
      <c r="E4" s="5" t="s">
        <v>14</v>
      </c>
      <c r="F4" s="5" t="s">
        <v>11</v>
      </c>
      <c r="G4" s="5">
        <v>2</v>
      </c>
      <c r="H4" s="5"/>
      <c r="J4" s="6" t="str">
        <f t="shared" si="0"/>
        <v xml:space="preserve">INSERT INTO MENU VALUES('MENU_0002','0','공지사항','MENU_0001','intrBoardInqy2010.do','Y','2','');</v>
      </c>
    </row>
    <row r="5">
      <c r="A5" s="5" t="s">
        <v>15</v>
      </c>
      <c r="B5" s="5">
        <v>0</v>
      </c>
      <c r="C5" s="5" t="s">
        <v>16</v>
      </c>
      <c r="D5" s="5" t="s">
        <v>9</v>
      </c>
      <c r="E5" s="5" t="s">
        <v>17</v>
      </c>
      <c r="F5" s="5" t="s">
        <v>11</v>
      </c>
      <c r="G5" s="5">
        <v>3</v>
      </c>
      <c r="H5" s="5"/>
      <c r="J5" s="6" t="str">
        <f t="shared" si="0"/>
        <v xml:space="preserve">INSERT INTO MENU VALUES('MENU_0003','0','회의 관리','MENU_0001','intrMtgInqy1010.do','Y','3','');</v>
      </c>
    </row>
    <row r="6">
      <c r="A6" s="5" t="s">
        <v>18</v>
      </c>
      <c r="B6" s="5">
        <v>0</v>
      </c>
      <c r="C6" s="5" t="s">
        <v>19</v>
      </c>
      <c r="D6" s="5" t="s">
        <v>9</v>
      </c>
      <c r="E6" s="5" t="s">
        <v>20</v>
      </c>
      <c r="F6" s="5" t="s">
        <v>11</v>
      </c>
      <c r="G6" s="5">
        <v>4</v>
      </c>
      <c r="H6" s="5"/>
      <c r="J6" s="6" t="str">
        <f t="shared" si="0"/>
        <v xml:space="preserve">INSERT INTO MENU VALUES('MENU_0004','0','일정 관리','MENU_0001','intrAprvInqy3010.do','Y','4','');</v>
      </c>
    </row>
    <row r="7">
      <c r="A7" s="5" t="s">
        <v>21</v>
      </c>
      <c r="B7" s="5">
        <v>0</v>
      </c>
      <c r="C7" s="5" t="s">
        <v>22</v>
      </c>
      <c r="D7" s="5" t="s">
        <v>9</v>
      </c>
      <c r="E7" s="5" t="s">
        <v>23</v>
      </c>
      <c r="F7" s="5" t="s">
        <v>11</v>
      </c>
      <c r="G7" s="5">
        <v>5</v>
      </c>
      <c r="H7" s="5"/>
      <c r="J7" s="6" t="str">
        <f t="shared" si="0"/>
        <v xml:space="preserve">INSERT INTO MENU VALUES('MENU_0005','0','내부규정','MENU_0001','intrRegsInqy1010.do','Y','5','');</v>
      </c>
    </row>
    <row r="8">
      <c r="A8" s="5" t="s">
        <v>24</v>
      </c>
      <c r="B8" s="5">
        <v>0</v>
      </c>
      <c r="C8" s="5" t="s">
        <v>25</v>
      </c>
      <c r="D8" s="5"/>
      <c r="E8" s="5"/>
      <c r="F8" s="5" t="s">
        <v>11</v>
      </c>
      <c r="G8" s="5">
        <v>6</v>
      </c>
      <c r="H8" s="5"/>
      <c r="J8" s="6" t="str">
        <f t="shared" si="0"/>
        <v xml:space="preserve">INSERT INTO MENU VALUES('MENU_0006','0','전자결재','','','Y','6','');</v>
      </c>
    </row>
    <row r="9">
      <c r="A9" s="5" t="s">
        <v>26</v>
      </c>
      <c r="B9" s="5">
        <v>0</v>
      </c>
      <c r="C9" s="5" t="s">
        <v>27</v>
      </c>
      <c r="D9" s="5" t="s">
        <v>24</v>
      </c>
      <c r="E9" s="5" t="s">
        <v>28</v>
      </c>
      <c r="F9" s="5" t="s">
        <v>11</v>
      </c>
      <c r="G9" s="5">
        <v>7</v>
      </c>
      <c r="H9" s="5"/>
      <c r="J9" s="6" t="str">
        <f t="shared" si="0"/>
        <v xml:space="preserve">INSERT INTO MENU VALUES('MENU_0007','0','기안 작성','MENU_0006','intrAprvInqy1010.do','Y','7','');</v>
      </c>
    </row>
    <row r="10">
      <c r="A10" s="5" t="s">
        <v>29</v>
      </c>
      <c r="B10" s="5">
        <v>0</v>
      </c>
      <c r="C10" s="5" t="s">
        <v>30</v>
      </c>
      <c r="D10" s="5" t="s">
        <v>24</v>
      </c>
      <c r="E10" s="5" t="s">
        <v>31</v>
      </c>
      <c r="F10" s="5" t="s">
        <v>11</v>
      </c>
      <c r="G10" s="5">
        <v>8</v>
      </c>
      <c r="H10" s="5"/>
      <c r="J10" s="6" t="str">
        <f t="shared" ref="J10:J13" si="1">"INSERT INTO "&amp;$A$1&amp;" VALUES('"&amp;A10&amp;"','"&amp;B10&amp;"','"&amp;C10&amp;"','"&amp;D10&amp;"','"&amp;E10&amp;"','"&amp;F10&amp;"','"&amp;G10&amp;"','"&amp;H10&amp;"');"</f>
        <v xml:space="preserve">INSERT INTO MENU VALUES('MENU_0008','0','결재 조회','MENU_0006','intrAprvInqy2010.do','Y','8','');</v>
      </c>
    </row>
    <row r="11">
      <c r="A11" s="5" t="s">
        <v>32</v>
      </c>
      <c r="B11" s="5">
        <v>0</v>
      </c>
      <c r="C11" s="5" t="s">
        <v>33</v>
      </c>
      <c r="D11" s="5" t="s">
        <v>24</v>
      </c>
      <c r="E11" s="5" t="s">
        <v>34</v>
      </c>
      <c r="F11" s="5" t="s">
        <v>11</v>
      </c>
      <c r="G11" s="5">
        <v>9</v>
      </c>
      <c r="H11" s="5"/>
      <c r="J11" s="6" t="str">
        <f t="shared" si="1"/>
        <v xml:space="preserve">INSERT INTO MENU VALUES('MENU_0009','0','결재선 관리','MENU_0006','intrAprvInqy4010.do','Y','9','');</v>
      </c>
    </row>
    <row r="12">
      <c r="A12" s="5" t="s">
        <v>35</v>
      </c>
      <c r="B12" s="5">
        <v>0</v>
      </c>
      <c r="C12" s="5" t="s">
        <v>36</v>
      </c>
      <c r="D12" s="5"/>
      <c r="E12" s="5"/>
      <c r="F12" s="5" t="s">
        <v>11</v>
      </c>
      <c r="G12" s="5">
        <v>10</v>
      </c>
      <c r="H12" s="5"/>
      <c r="J12" s="6" t="str">
        <f t="shared" si="1"/>
        <v xml:space="preserve">INSERT INTO MENU VALUES('MENU_0010','0','업무 관리','','','Y','10','');</v>
      </c>
    </row>
    <row r="13">
      <c r="A13" s="5" t="s">
        <v>37</v>
      </c>
      <c r="B13" s="5">
        <v>0</v>
      </c>
      <c r="C13" s="5" t="s">
        <v>38</v>
      </c>
      <c r="D13" s="5" t="s">
        <v>35</v>
      </c>
      <c r="E13" s="5" t="s">
        <v>39</v>
      </c>
      <c r="F13" s="5" t="s">
        <v>11</v>
      </c>
      <c r="G13" s="5">
        <v>11</v>
      </c>
      <c r="H13" s="5"/>
      <c r="J13" s="6" t="str">
        <f t="shared" si="1"/>
        <v xml:space="preserve">INSERT INTO MENU VALUES('MENU_0011','0','업무일지 작성','MENU_0010','intrTaskInqy1010.do','Y','11','');</v>
      </c>
    </row>
    <row r="14">
      <c r="A14" s="5" t="s">
        <v>40</v>
      </c>
      <c r="B14" s="5">
        <v>0</v>
      </c>
      <c r="C14" s="5" t="s">
        <v>41</v>
      </c>
      <c r="D14" s="5" t="s">
        <v>35</v>
      </c>
      <c r="E14" s="5" t="s">
        <v>42</v>
      </c>
      <c r="F14" s="5" t="s">
        <v>11</v>
      </c>
      <c r="G14" s="5">
        <v>12</v>
      </c>
      <c r="H14" s="5"/>
      <c r="J14" s="6" t="str">
        <f t="shared" si="0"/>
        <v xml:space="preserve">INSERT INTO MENU VALUES('MENU_0012','0','업무 캘린더','MENU_0010','intrTaskInqy3010.do','Y','12','');</v>
      </c>
    </row>
    <row r="15">
      <c r="A15" s="5" t="s">
        <v>43</v>
      </c>
      <c r="B15" s="5">
        <v>0</v>
      </c>
      <c r="C15" s="5" t="s">
        <v>44</v>
      </c>
      <c r="D15" s="5"/>
      <c r="E15" s="5"/>
      <c r="F15" s="5" t="s">
        <v>11</v>
      </c>
      <c r="G15" s="5">
        <v>13</v>
      </c>
      <c r="H15" s="5"/>
      <c r="J15" s="6" t="str">
        <f t="shared" si="0"/>
        <v xml:space="preserve">INSERT INTO MENU VALUES('MENU_0013','0','인사정보','','','Y','13','');</v>
      </c>
    </row>
    <row r="16">
      <c r="A16" s="5" t="s">
        <v>45</v>
      </c>
      <c r="B16" s="5">
        <v>0</v>
      </c>
      <c r="C16" s="5" t="s">
        <v>46</v>
      </c>
      <c r="D16" s="5" t="s">
        <v>43</v>
      </c>
      <c r="E16" s="5" t="s">
        <v>47</v>
      </c>
      <c r="F16" s="5" t="s">
        <v>11</v>
      </c>
      <c r="G16" s="5">
        <v>14</v>
      </c>
      <c r="H16" s="5"/>
      <c r="J16" s="6" t="str">
        <f t="shared" ref="J16:J17" si="2">"INSERT INTO "&amp;$A$1&amp;" VALUES('"&amp;A16&amp;"','"&amp;B16&amp;"','"&amp;C16&amp;"','"&amp;D16&amp;"','"&amp;E16&amp;"','"&amp;F16&amp;"','"&amp;G16&amp;"','"&amp;H16&amp;"');"</f>
        <v xml:space="preserve">INSERT INTO MENU VALUES('MENU_0014','0','사원 조회','MENU_0013','intrEmpInqy2010.do','Y','14','');</v>
      </c>
    </row>
    <row r="17">
      <c r="A17" s="5" t="s">
        <v>48</v>
      </c>
      <c r="B17" s="5">
        <v>0</v>
      </c>
      <c r="C17" s="5" t="s">
        <v>49</v>
      </c>
      <c r="D17" s="5" t="s">
        <v>43</v>
      </c>
      <c r="E17" s="5" t="s">
        <v>50</v>
      </c>
      <c r="F17" s="5" t="s">
        <v>11</v>
      </c>
      <c r="G17" s="5">
        <v>15</v>
      </c>
      <c r="H17" s="5"/>
      <c r="J17" s="6" t="str">
        <f t="shared" si="2"/>
        <v xml:space="preserve">INSERT INTO MENU VALUES('MENU_0015','0','담당업무 조회','MENU_0013','intrEmpInqy3010.do','Y','15','');</v>
      </c>
    </row>
    <row r="18">
      <c r="A18" s="5" t="s">
        <v>51</v>
      </c>
      <c r="B18" s="5">
        <v>1</v>
      </c>
      <c r="C18" s="5" t="s">
        <v>52</v>
      </c>
      <c r="D18" s="5"/>
      <c r="E18" s="5"/>
      <c r="F18" s="5" t="s">
        <v>11</v>
      </c>
      <c r="G18" s="5">
        <v>16</v>
      </c>
      <c r="H18" s="5"/>
      <c r="J18" s="6" t="str">
        <f t="shared" si="0"/>
        <v xml:space="preserve">INSERT INTO MENU VALUES('MENU_0016','1','공유정보 관리','','','Y','16','');</v>
      </c>
    </row>
    <row r="19">
      <c r="A19" s="5" t="s">
        <v>53</v>
      </c>
      <c r="B19" s="5">
        <v>1</v>
      </c>
      <c r="C19" s="5" t="s">
        <v>54</v>
      </c>
      <c r="D19" s="5" t="s">
        <v>51</v>
      </c>
      <c r="E19" s="5" t="s">
        <v>55</v>
      </c>
      <c r="F19" s="5" t="s">
        <v>11</v>
      </c>
      <c r="G19" s="5">
        <v>17</v>
      </c>
      <c r="H19" s="5"/>
      <c r="J19" s="6" t="str">
        <f>"INSERT INTO "&amp;$A$1&amp;" VALUES('"&amp;A19&amp;"','"&amp;B19&amp;"','"&amp;C19&amp;"','"&amp;D19&amp;"','"&amp;E19&amp;"','"&amp;F19&amp;"','"&amp;G19&amp;"','"&amp;H19&amp;"');"</f>
        <v xml:space="preserve">INSERT INTO MENU VALUES('MENU_0017','1','공지사항 관리','MENU_0016','intrBoardInqy1010.do','Y','17','');</v>
      </c>
    </row>
    <row r="20">
      <c r="A20" s="5" t="s">
        <v>56</v>
      </c>
      <c r="B20" s="5">
        <v>1</v>
      </c>
      <c r="C20" s="5" t="s">
        <v>57</v>
      </c>
      <c r="D20" s="5" t="s">
        <v>51</v>
      </c>
      <c r="E20" s="5" t="s">
        <v>58</v>
      </c>
      <c r="F20" s="5" t="s">
        <v>11</v>
      </c>
      <c r="G20" s="5">
        <v>18</v>
      </c>
      <c r="H20" s="5"/>
      <c r="J20" s="6" t="str">
        <f t="shared" si="0"/>
        <v xml:space="preserve">INSERT INTO MENU VALUES('MENU_0018','1','배너 관리','MENU_0016','intrBanrInqy1010.do','Y','18','');</v>
      </c>
    </row>
    <row r="21">
      <c r="A21" s="5" t="s">
        <v>59</v>
      </c>
      <c r="B21" s="5">
        <v>1</v>
      </c>
      <c r="C21" s="5" t="s">
        <v>60</v>
      </c>
      <c r="D21" s="5" t="s">
        <v>51</v>
      </c>
      <c r="E21" s="5" t="s">
        <v>61</v>
      </c>
      <c r="F21" s="5" t="s">
        <v>11</v>
      </c>
      <c r="G21" s="5">
        <v>19</v>
      </c>
      <c r="H21" s="5"/>
      <c r="J21" s="6" t="str">
        <f>"INSERT INTO "&amp;$A$1&amp;" VALUES('"&amp;A21&amp;"','"&amp;B21&amp;"','"&amp;C21&amp;"','"&amp;D21&amp;"','"&amp;E21&amp;"','"&amp;F21&amp;"','"&amp;G21&amp;"','"&amp;H21&amp;"');"</f>
        <v xml:space="preserve">INSERT INTO MENU VALUES('MENU_0019','1','업무일지 조회','MENU_0016','intrTaskInqy2010.do','Y','19','');</v>
      </c>
    </row>
    <row r="22">
      <c r="A22" s="5" t="s">
        <v>62</v>
      </c>
      <c r="B22" s="5">
        <v>1</v>
      </c>
      <c r="C22" s="5" t="s">
        <v>63</v>
      </c>
      <c r="D22" s="5"/>
      <c r="E22" s="5"/>
      <c r="F22" s="5" t="s">
        <v>11</v>
      </c>
      <c r="G22" s="5">
        <v>20</v>
      </c>
      <c r="H22" s="5"/>
      <c r="J22" s="6" t="str">
        <f t="shared" si="0"/>
        <v xml:space="preserve">INSERT INTO MENU VALUES('MENU_0020','1','전자결재 관리','','','Y','20','');</v>
      </c>
    </row>
    <row r="23">
      <c r="A23" s="5" t="s">
        <v>64</v>
      </c>
      <c r="B23" s="5">
        <v>1</v>
      </c>
      <c r="C23" s="5" t="s">
        <v>65</v>
      </c>
      <c r="D23" s="5" t="s">
        <v>62</v>
      </c>
      <c r="E23" s="5" t="s">
        <v>66</v>
      </c>
      <c r="F23" s="5" t="s">
        <v>11</v>
      </c>
      <c r="G23" s="5">
        <v>21</v>
      </c>
      <c r="H23" s="5"/>
      <c r="J23" s="6" t="str">
        <f t="shared" si="0"/>
        <v xml:space="preserve">INSERT INTO MENU VALUES('MENU_0021','1','결재양식 관리','MENU_0020','intrTempInqy1010.do','Y','21','');</v>
      </c>
    </row>
    <row r="24">
      <c r="A24" s="5" t="s">
        <v>67</v>
      </c>
      <c r="B24" s="5">
        <v>1</v>
      </c>
      <c r="C24" s="5" t="s">
        <v>68</v>
      </c>
      <c r="D24" s="5" t="s">
        <v>62</v>
      </c>
      <c r="E24" s="5" t="s">
        <v>69</v>
      </c>
      <c r="F24" s="5" t="s">
        <v>11</v>
      </c>
      <c r="G24" s="5">
        <v>23</v>
      </c>
      <c r="H24" s="5"/>
      <c r="J24" s="6" t="str">
        <f t="shared" si="0"/>
        <v xml:space="preserve">INSERT INTO MENU VALUES('MENU_0022','1','프로젝트 관리','MENU_0020','intrProjInqy1010.do','Y','23','');</v>
      </c>
    </row>
    <row r="25">
      <c r="A25" s="5" t="s">
        <v>70</v>
      </c>
      <c r="B25" s="5">
        <v>1</v>
      </c>
      <c r="C25" s="5" t="s">
        <v>44</v>
      </c>
      <c r="D25" s="5"/>
      <c r="E25" s="5"/>
      <c r="F25" s="5" t="s">
        <v>11</v>
      </c>
      <c r="G25" s="5">
        <v>24</v>
      </c>
      <c r="H25" s="5"/>
      <c r="J25" s="6" t="str">
        <f t="shared" si="0"/>
        <v xml:space="preserve">INSERT INTO MENU VALUES('MENU_0023','1','인사정보','','','Y','24','');</v>
      </c>
    </row>
    <row r="26">
      <c r="A26" s="5" t="s">
        <v>71</v>
      </c>
      <c r="B26" s="5">
        <v>1</v>
      </c>
      <c r="C26" s="5" t="s">
        <v>72</v>
      </c>
      <c r="D26" s="5" t="s">
        <v>70</v>
      </c>
      <c r="E26" s="5" t="s">
        <v>73</v>
      </c>
      <c r="F26" s="5" t="s">
        <v>11</v>
      </c>
      <c r="G26" s="5">
        <v>25</v>
      </c>
      <c r="H26" s="5"/>
      <c r="J26" s="6" t="str">
        <f t="shared" si="0"/>
        <v xml:space="preserve">INSERT INTO MENU VALUES('MENU_0024','1','사원 관리','MENU_0023','intrEmpInqy1010.do','Y','25','');</v>
      </c>
    </row>
    <row r="27">
      <c r="A27" s="5" t="s">
        <v>74</v>
      </c>
      <c r="B27" s="5">
        <v>1</v>
      </c>
      <c r="C27" s="5" t="s">
        <v>75</v>
      </c>
      <c r="D27" s="5" t="s">
        <v>70</v>
      </c>
      <c r="E27" s="5" t="s">
        <v>76</v>
      </c>
      <c r="F27" s="5" t="s">
        <v>11</v>
      </c>
      <c r="G27" s="5">
        <v>26</v>
      </c>
      <c r="H27" s="5"/>
      <c r="J27" s="6" t="str">
        <f>"INSERT INTO "&amp;$A$1&amp;" VALUES('"&amp;A27&amp;"','"&amp;B27&amp;"','"&amp;C27&amp;"','"&amp;D27&amp;"','"&amp;E27&amp;"','"&amp;F27&amp;"','"&amp;G27&amp;"','"&amp;H27&amp;"');"</f>
        <v xml:space="preserve">INSERT INTO MENU VALUES('MENU_0025','1','인사 통계','MENU_0023','intrEmpInqy4010.do','Y','26','');</v>
      </c>
    </row>
    <row r="28">
      <c r="A28" s="5" t="s">
        <v>77</v>
      </c>
      <c r="B28" s="5">
        <v>1</v>
      </c>
      <c r="C28" s="5" t="s">
        <v>78</v>
      </c>
      <c r="D28" s="5"/>
      <c r="E28" s="5"/>
      <c r="F28" s="5" t="s">
        <v>11</v>
      </c>
      <c r="G28" s="5">
        <v>27</v>
      </c>
      <c r="H28" s="5"/>
      <c r="J28" s="6" t="str">
        <f t="shared" si="0"/>
        <v xml:space="preserve">INSERT INTO MENU VALUES('MENU_0026','1','시스템 관리','','','Y','27','');</v>
      </c>
    </row>
    <row r="29">
      <c r="A29" s="5" t="s">
        <v>79</v>
      </c>
      <c r="B29" s="5">
        <v>1</v>
      </c>
      <c r="C29" s="5" t="s">
        <v>80</v>
      </c>
      <c r="D29" s="5" t="s">
        <v>77</v>
      </c>
      <c r="E29" s="5" t="s">
        <v>81</v>
      </c>
      <c r="F29" s="5" t="s">
        <v>11</v>
      </c>
      <c r="G29" s="5">
        <v>28</v>
      </c>
      <c r="H29" s="5"/>
      <c r="J29" s="6" t="str">
        <f t="shared" si="0"/>
        <v xml:space="preserve">INSERT INTO MENU VALUES('MENU_0027','1','권한 관리','MENU_0026','intrRoleInqy1010.do','Y','28','');</v>
      </c>
    </row>
    <row r="30">
      <c r="A30" s="5" t="s">
        <v>82</v>
      </c>
      <c r="B30" s="5">
        <v>1</v>
      </c>
      <c r="C30" s="5" t="s">
        <v>83</v>
      </c>
      <c r="D30" s="5" t="s">
        <v>77</v>
      </c>
      <c r="E30" s="5" t="s">
        <v>84</v>
      </c>
      <c r="F30" s="5" t="s">
        <v>11</v>
      </c>
      <c r="G30" s="5">
        <v>29</v>
      </c>
      <c r="H30" s="5"/>
      <c r="J30" s="6" t="str">
        <f t="shared" si="0"/>
        <v xml:space="preserve">INSERT INTO MENU VALUES('MENU_0028','1','메뉴 권한 부여','MENU_0026','intrRoleInqy2010.do','Y','29','');</v>
      </c>
    </row>
    <row r="31">
      <c r="A31" s="5" t="s">
        <v>85</v>
      </c>
      <c r="B31" s="5">
        <v>1</v>
      </c>
      <c r="C31" s="5" t="s">
        <v>86</v>
      </c>
      <c r="D31" s="5" t="s">
        <v>77</v>
      </c>
      <c r="E31" s="5" t="s">
        <v>87</v>
      </c>
      <c r="F31" s="5" t="s">
        <v>11</v>
      </c>
      <c r="G31" s="5">
        <v>30</v>
      </c>
      <c r="H31" s="5"/>
      <c r="J31" s="6" t="str">
        <f>"INSERT INTO "&amp;$A$1&amp;" VALUES('"&amp;A31&amp;"','"&amp;B31&amp;"','"&amp;C31&amp;"','"&amp;D31&amp;"','"&amp;E31&amp;"','"&amp;F31&amp;"','"&amp;G31&amp;"','"&amp;H31&amp;"');"</f>
        <v xml:space="preserve">INSERT INTO MENU VALUES('MENU_0029','1','사용자 권한 부여','MENU_0026','intrRoleInqy3010.do','Y','30','');</v>
      </c>
    </row>
    <row r="32">
      <c r="A32" s="5" t="s">
        <v>88</v>
      </c>
      <c r="B32" s="5">
        <v>1</v>
      </c>
      <c r="C32" s="5" t="s">
        <v>89</v>
      </c>
      <c r="D32" s="5" t="s">
        <v>77</v>
      </c>
      <c r="E32" s="5" t="s">
        <v>90</v>
      </c>
      <c r="F32" s="5" t="s">
        <v>11</v>
      </c>
      <c r="G32" s="5">
        <v>31</v>
      </c>
      <c r="H32" s="5"/>
      <c r="J32" s="6" t="str">
        <f t="shared" si="0"/>
        <v xml:space="preserve">INSERT INTO MENU VALUES('MENU_0030','1','쿼리 입력','MENU_0026','intrQueryInqy1010.do','Y','31','');</v>
      </c>
    </row>
  </sheetData>
  <mergeCells count="1">
    <mergeCell ref="A1:H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5" activeCellId="0" sqref="E25"/>
    </sheetView>
  </sheetViews>
  <sheetFormatPr defaultRowHeight="16.5"/>
  <cols>
    <col customWidth="1" min="1" max="5" style="1" width="15.625"/>
    <col min="6" max="16384" style="1" width="9"/>
  </cols>
  <sheetData>
    <row r="1" s="2" customFormat="1">
      <c r="A1" s="3" t="s">
        <v>91</v>
      </c>
      <c r="B1" s="3"/>
      <c r="C1" s="3"/>
      <c r="D1" s="3"/>
      <c r="E1" s="3"/>
    </row>
    <row r="2" s="2" customFormat="1">
      <c r="A2" s="4" t="s">
        <v>92</v>
      </c>
      <c r="B2" s="4" t="s">
        <v>93</v>
      </c>
      <c r="C2" s="4" t="s">
        <v>6</v>
      </c>
      <c r="D2" s="4" t="s">
        <v>7</v>
      </c>
      <c r="E2" s="4" t="s">
        <v>8</v>
      </c>
    </row>
    <row r="3">
      <c r="A3" s="5" t="s">
        <v>94</v>
      </c>
      <c r="B3" s="5" t="s">
        <v>95</v>
      </c>
      <c r="C3" s="5" t="s">
        <v>96</v>
      </c>
      <c r="D3" s="5">
        <v>1</v>
      </c>
      <c r="E3" s="5"/>
      <c r="G3" s="6" t="str">
        <f t="shared" ref="G3:G4" si="3">"INSERT INTO "&amp;$A$1&amp;" VALUES('"&amp;A3&amp;"','"&amp;B3&amp;"','"&amp;C3&amp;"','"&amp;D3&amp;"','"&amp;E3&amp;"');"</f>
        <v xml:space="preserve">INSERT INTO ROLE VALUES('ROLE_0001','관리자 권한','Y','1','');</v>
      </c>
    </row>
    <row r="4">
      <c r="A4" s="5" t="s">
        <v>97</v>
      </c>
      <c r="B4" s="5" t="s">
        <v>98</v>
      </c>
      <c r="C4" s="5" t="s">
        <v>96</v>
      </c>
      <c r="D4" s="5">
        <v>2</v>
      </c>
      <c r="E4" s="5"/>
      <c r="G4" s="6" t="str">
        <f t="shared" si="3"/>
        <v xml:space="preserve">INSERT INTO ROLE VALUES('ROLE_0002','테스트 권한','Y','2','');</v>
      </c>
    </row>
  </sheetData>
  <mergeCells count="1">
    <mergeCell ref="A1:E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B27" activeCellId="0" sqref="B27"/>
    </sheetView>
  </sheetViews>
  <sheetFormatPr defaultRowHeight="16.5"/>
  <cols>
    <col customWidth="1" min="1" max="5" style="1" width="15.625"/>
    <col min="6" max="16384" style="1" width="9"/>
  </cols>
  <sheetData>
    <row r="1" s="2" customFormat="1">
      <c r="A1" s="3" t="s">
        <v>99</v>
      </c>
      <c r="B1" s="3"/>
      <c r="C1" s="3"/>
      <c r="D1" s="3"/>
      <c r="E1" s="3"/>
    </row>
    <row r="2" s="2" customFormat="1">
      <c r="A2" s="4" t="s">
        <v>100</v>
      </c>
      <c r="B2" s="4" t="s">
        <v>1</v>
      </c>
      <c r="C2" s="4" t="s">
        <v>6</v>
      </c>
      <c r="D2" s="4" t="s">
        <v>7</v>
      </c>
      <c r="E2" s="4" t="s">
        <v>8</v>
      </c>
    </row>
    <row r="3">
      <c r="A3" s="5" t="s">
        <v>101</v>
      </c>
      <c r="B3" s="5" t="s">
        <v>9</v>
      </c>
      <c r="C3" s="5" t="s">
        <v>96</v>
      </c>
      <c r="D3" s="5">
        <v>1</v>
      </c>
      <c r="E3" s="5"/>
      <c r="G3" s="6" t="str">
        <f t="shared" ref="G3:G26" si="4">"INSERT INTO "&amp;$A$1&amp;" VALUES('"&amp;A3&amp;"','"&amp;B3&amp;"','"&amp;C3&amp;"','"&amp;D3&amp;"','"&amp;E3&amp;"');"</f>
        <v xml:space="preserve">INSERT INTO MENU_ROLE VALUES('ROLE_0001','MENU_0001','Y','1','');</v>
      </c>
    </row>
    <row r="4">
      <c r="A4" s="5" t="s">
        <v>101</v>
      </c>
      <c r="B4" s="5" t="s">
        <v>12</v>
      </c>
      <c r="C4" s="5" t="s">
        <v>96</v>
      </c>
      <c r="D4" s="5">
        <v>2</v>
      </c>
      <c r="E4" s="5"/>
      <c r="G4" s="6" t="str">
        <f t="shared" si="4"/>
        <v xml:space="preserve">INSERT INTO MENU_ROLE VALUES('ROLE_0001','MENU_0002','Y','2','');</v>
      </c>
    </row>
    <row r="5">
      <c r="A5" s="5" t="s">
        <v>101</v>
      </c>
      <c r="B5" s="5" t="s">
        <v>15</v>
      </c>
      <c r="C5" s="5" t="s">
        <v>96</v>
      </c>
      <c r="D5" s="5">
        <v>3</v>
      </c>
      <c r="E5" s="5"/>
      <c r="G5" s="6" t="str">
        <f t="shared" si="4"/>
        <v xml:space="preserve">INSERT INTO MENU_ROLE VALUES('ROLE_0001','MENU_0003','Y','3','');</v>
      </c>
    </row>
    <row r="6">
      <c r="A6" s="5" t="s">
        <v>101</v>
      </c>
      <c r="B6" s="5" t="s">
        <v>18</v>
      </c>
      <c r="C6" s="5" t="s">
        <v>96</v>
      </c>
      <c r="D6" s="5">
        <v>4</v>
      </c>
      <c r="E6" s="5"/>
      <c r="G6" s="6" t="str">
        <f t="shared" si="4"/>
        <v xml:space="preserve">INSERT INTO MENU_ROLE VALUES('ROLE_0001','MENU_0004','Y','4','');</v>
      </c>
    </row>
    <row r="7">
      <c r="A7" s="5" t="s">
        <v>101</v>
      </c>
      <c r="B7" s="5" t="s">
        <v>21</v>
      </c>
      <c r="C7" s="5" t="s">
        <v>96</v>
      </c>
      <c r="D7" s="5">
        <v>5</v>
      </c>
      <c r="E7" s="5"/>
      <c r="G7" s="6" t="str">
        <f t="shared" si="4"/>
        <v xml:space="preserve">INSERT INTO MENU_ROLE VALUES('ROLE_0001','MENU_0005','Y','5','');</v>
      </c>
    </row>
    <row r="8">
      <c r="A8" s="5" t="s">
        <v>101</v>
      </c>
      <c r="B8" s="5" t="s">
        <v>24</v>
      </c>
      <c r="C8" s="5" t="s">
        <v>96</v>
      </c>
      <c r="D8" s="5">
        <v>6</v>
      </c>
      <c r="E8" s="5"/>
      <c r="G8" s="6" t="str">
        <f t="shared" si="4"/>
        <v xml:space="preserve">INSERT INTO MENU_ROLE VALUES('ROLE_0001','MENU_0006','Y','6','');</v>
      </c>
    </row>
    <row r="9">
      <c r="A9" s="5" t="s">
        <v>101</v>
      </c>
      <c r="B9" s="5" t="s">
        <v>26</v>
      </c>
      <c r="C9" s="5" t="s">
        <v>96</v>
      </c>
      <c r="D9" s="5">
        <v>7</v>
      </c>
      <c r="E9" s="5"/>
      <c r="G9" s="6" t="str">
        <f t="shared" si="4"/>
        <v xml:space="preserve">INSERT INTO MENU_ROLE VALUES('ROLE_0001','MENU_0007','Y','7','');</v>
      </c>
    </row>
    <row r="10">
      <c r="A10" s="5" t="s">
        <v>101</v>
      </c>
      <c r="B10" s="5" t="s">
        <v>29</v>
      </c>
      <c r="C10" s="5" t="s">
        <v>96</v>
      </c>
      <c r="D10" s="5">
        <v>8</v>
      </c>
      <c r="E10" s="5"/>
      <c r="G10" s="6" t="str">
        <f t="shared" si="4"/>
        <v xml:space="preserve">INSERT INTO MENU_ROLE VALUES('ROLE_0001','MENU_0008','Y','8','');</v>
      </c>
    </row>
    <row r="11">
      <c r="A11" s="5" t="s">
        <v>101</v>
      </c>
      <c r="B11" s="5" t="s">
        <v>32</v>
      </c>
      <c r="C11" s="5" t="s">
        <v>96</v>
      </c>
      <c r="D11" s="5">
        <v>9</v>
      </c>
      <c r="E11" s="5"/>
      <c r="G11" s="6" t="str">
        <f t="shared" si="4"/>
        <v xml:space="preserve">INSERT INTO MENU_ROLE VALUES('ROLE_0001','MENU_0009','Y','9','');</v>
      </c>
    </row>
    <row r="12">
      <c r="A12" s="5" t="s">
        <v>101</v>
      </c>
      <c r="B12" s="5" t="s">
        <v>35</v>
      </c>
      <c r="C12" s="5" t="s">
        <v>96</v>
      </c>
      <c r="D12" s="5">
        <v>10</v>
      </c>
      <c r="E12" s="5"/>
      <c r="G12" s="6" t="str">
        <f t="shared" si="4"/>
        <v xml:space="preserve">INSERT INTO MENU_ROLE VALUES('ROLE_0001','MENU_0010','Y','10','');</v>
      </c>
    </row>
    <row r="13">
      <c r="A13" s="5" t="s">
        <v>101</v>
      </c>
      <c r="B13" s="5" t="s">
        <v>37</v>
      </c>
      <c r="C13" s="5" t="s">
        <v>96</v>
      </c>
      <c r="D13" s="5">
        <v>11</v>
      </c>
      <c r="E13" s="5"/>
      <c r="G13" s="6" t="str">
        <f t="shared" si="4"/>
        <v xml:space="preserve">INSERT INTO MENU_ROLE VALUES('ROLE_0001','MENU_0011','Y','11','');</v>
      </c>
    </row>
    <row r="14">
      <c r="A14" s="5" t="s">
        <v>101</v>
      </c>
      <c r="B14" s="5" t="s">
        <v>40</v>
      </c>
      <c r="C14" s="5" t="s">
        <v>96</v>
      </c>
      <c r="D14" s="5">
        <v>12</v>
      </c>
      <c r="E14" s="5"/>
      <c r="G14" s="6" t="str">
        <f t="shared" si="4"/>
        <v xml:space="preserve">INSERT INTO MENU_ROLE VALUES('ROLE_0001','MENU_0012','Y','12','');</v>
      </c>
    </row>
    <row r="15">
      <c r="A15" s="5" t="s">
        <v>101</v>
      </c>
      <c r="B15" s="5" t="s">
        <v>43</v>
      </c>
      <c r="C15" s="5" t="s">
        <v>96</v>
      </c>
      <c r="D15" s="5">
        <v>13</v>
      </c>
      <c r="E15" s="5"/>
      <c r="G15" s="6" t="str">
        <f t="shared" si="4"/>
        <v xml:space="preserve">INSERT INTO MENU_ROLE VALUES('ROLE_0001','MENU_0013','Y','13','');</v>
      </c>
    </row>
    <row r="16">
      <c r="A16" s="5" t="s">
        <v>101</v>
      </c>
      <c r="B16" s="5" t="s">
        <v>45</v>
      </c>
      <c r="C16" s="5" t="s">
        <v>96</v>
      </c>
      <c r="D16" s="5">
        <v>14</v>
      </c>
      <c r="E16" s="5"/>
      <c r="G16" s="6" t="str">
        <f t="shared" si="4"/>
        <v xml:space="preserve">INSERT INTO MENU_ROLE VALUES('ROLE_0001','MENU_0014','Y','14','');</v>
      </c>
    </row>
    <row r="17">
      <c r="A17" s="5" t="s">
        <v>101</v>
      </c>
      <c r="B17" s="5" t="s">
        <v>48</v>
      </c>
      <c r="C17" s="5" t="s">
        <v>96</v>
      </c>
      <c r="D17" s="5">
        <v>15</v>
      </c>
      <c r="E17" s="5"/>
      <c r="G17" s="6" t="str">
        <f t="shared" si="4"/>
        <v xml:space="preserve">INSERT INTO MENU_ROLE VALUES('ROLE_0001','MENU_0015','Y','15','');</v>
      </c>
    </row>
    <row r="18">
      <c r="A18" s="5" t="s">
        <v>101</v>
      </c>
      <c r="B18" s="5" t="s">
        <v>51</v>
      </c>
      <c r="C18" s="5" t="s">
        <v>96</v>
      </c>
      <c r="D18" s="5">
        <v>16</v>
      </c>
      <c r="E18" s="5"/>
      <c r="G18" s="6" t="str">
        <f t="shared" si="4"/>
        <v xml:space="preserve">INSERT INTO MENU_ROLE VALUES('ROLE_0001','MENU_0016','Y','16','');</v>
      </c>
    </row>
    <row r="19">
      <c r="A19" s="5" t="s">
        <v>101</v>
      </c>
      <c r="B19" s="5" t="s">
        <v>53</v>
      </c>
      <c r="C19" s="5" t="s">
        <v>96</v>
      </c>
      <c r="D19" s="5">
        <v>17</v>
      </c>
      <c r="E19" s="5"/>
      <c r="G19" s="6" t="str">
        <f t="shared" si="4"/>
        <v xml:space="preserve">INSERT INTO MENU_ROLE VALUES('ROLE_0001','MENU_0017','Y','17','');</v>
      </c>
    </row>
    <row r="20">
      <c r="A20" s="5" t="s">
        <v>101</v>
      </c>
      <c r="B20" s="5" t="s">
        <v>56</v>
      </c>
      <c r="C20" s="5" t="s">
        <v>96</v>
      </c>
      <c r="D20" s="5">
        <v>18</v>
      </c>
      <c r="E20" s="5"/>
      <c r="G20" s="6" t="str">
        <f t="shared" si="4"/>
        <v xml:space="preserve">INSERT INTO MENU_ROLE VALUES('ROLE_0001','MENU_0018','Y','18','');</v>
      </c>
    </row>
    <row r="21">
      <c r="A21" s="5" t="s">
        <v>101</v>
      </c>
      <c r="B21" s="5" t="s">
        <v>59</v>
      </c>
      <c r="C21" s="5" t="s">
        <v>96</v>
      </c>
      <c r="D21" s="5">
        <v>19</v>
      </c>
      <c r="E21" s="5"/>
      <c r="G21" s="6" t="str">
        <f t="shared" si="4"/>
        <v xml:space="preserve">INSERT INTO MENU_ROLE VALUES('ROLE_0001','MENU_0019','Y','19','');</v>
      </c>
    </row>
    <row r="22">
      <c r="A22" s="5" t="s">
        <v>101</v>
      </c>
      <c r="B22" s="5" t="s">
        <v>62</v>
      </c>
      <c r="C22" s="5" t="s">
        <v>96</v>
      </c>
      <c r="D22" s="5">
        <v>20</v>
      </c>
      <c r="E22" s="5"/>
      <c r="G22" s="6" t="str">
        <f t="shared" si="4"/>
        <v xml:space="preserve">INSERT INTO MENU_ROLE VALUES('ROLE_0001','MENU_0020','Y','20','');</v>
      </c>
    </row>
    <row r="23">
      <c r="A23" s="5" t="s">
        <v>101</v>
      </c>
      <c r="B23" s="5" t="s">
        <v>64</v>
      </c>
      <c r="C23" s="5" t="s">
        <v>96</v>
      </c>
      <c r="D23" s="5">
        <v>21</v>
      </c>
      <c r="E23" s="5"/>
      <c r="G23" s="6" t="str">
        <f t="shared" si="4"/>
        <v xml:space="preserve">INSERT INTO MENU_ROLE VALUES('ROLE_0001','MENU_0021','Y','21','');</v>
      </c>
    </row>
    <row r="24">
      <c r="A24" s="5" t="s">
        <v>101</v>
      </c>
      <c r="B24" s="5" t="s">
        <v>67</v>
      </c>
      <c r="C24" s="5" t="s">
        <v>96</v>
      </c>
      <c r="D24" s="5">
        <v>22</v>
      </c>
      <c r="E24" s="5"/>
      <c r="G24" s="6" t="str">
        <f t="shared" si="4"/>
        <v xml:space="preserve">INSERT INTO MENU_ROLE VALUES('ROLE_0001','MENU_0022','Y','22','');</v>
      </c>
    </row>
    <row r="25">
      <c r="A25" s="5" t="s">
        <v>101</v>
      </c>
      <c r="B25" s="5" t="s">
        <v>70</v>
      </c>
      <c r="C25" s="5" t="s">
        <v>96</v>
      </c>
      <c r="D25" s="5">
        <v>23</v>
      </c>
      <c r="E25" s="5"/>
      <c r="G25" s="6" t="str">
        <f t="shared" si="4"/>
        <v xml:space="preserve">INSERT INTO MENU_ROLE VALUES('ROLE_0001','MENU_0023','Y','23','');</v>
      </c>
    </row>
    <row r="26">
      <c r="A26" s="5" t="s">
        <v>101</v>
      </c>
      <c r="B26" s="5" t="s">
        <v>71</v>
      </c>
      <c r="C26" s="5" t="s">
        <v>96</v>
      </c>
      <c r="D26" s="5">
        <v>24</v>
      </c>
      <c r="E26" s="5"/>
      <c r="G26" s="6" t="str">
        <f t="shared" si="4"/>
        <v xml:space="preserve">INSERT INTO MENU_ROLE VALUES('ROLE_0001','MENU_0024','Y','24','');</v>
      </c>
    </row>
    <row r="27">
      <c r="A27" s="5" t="s">
        <v>101</v>
      </c>
      <c r="B27" s="5" t="s">
        <v>102</v>
      </c>
      <c r="C27" s="5" t="s">
        <v>96</v>
      </c>
      <c r="D27" s="5">
        <v>25</v>
      </c>
      <c r="E27" s="5"/>
      <c r="G27" s="6" t="str">
        <f t="shared" ref="G27:G32" si="5">"INSERT INTO "&amp;$A$1&amp;" VALUES('"&amp;A27&amp;"','"&amp;B27&amp;"','"&amp;C27&amp;"','"&amp;D27&amp;"','"&amp;E27&amp;"');"</f>
        <v xml:space="preserve">INSERT INTO MENU_ROLE VALUES('ROLE_0001','MENU_0025','Y','25','');</v>
      </c>
    </row>
    <row r="28">
      <c r="A28" s="5" t="s">
        <v>101</v>
      </c>
      <c r="B28" s="5" t="s">
        <v>77</v>
      </c>
      <c r="C28" s="5" t="s">
        <v>96</v>
      </c>
      <c r="D28" s="5">
        <v>26</v>
      </c>
      <c r="E28" s="5"/>
      <c r="G28" s="6" t="str">
        <f t="shared" si="5"/>
        <v xml:space="preserve">INSERT INTO MENU_ROLE VALUES('ROLE_0001','MENU_0026','Y','26','');</v>
      </c>
    </row>
    <row r="29">
      <c r="A29" s="5" t="s">
        <v>101</v>
      </c>
      <c r="B29" s="5" t="s">
        <v>79</v>
      </c>
      <c r="C29" s="5" t="s">
        <v>96</v>
      </c>
      <c r="D29" s="5">
        <v>27</v>
      </c>
      <c r="E29" s="5"/>
      <c r="G29" s="6" t="str">
        <f t="shared" si="5"/>
        <v xml:space="preserve">INSERT INTO MENU_ROLE VALUES('ROLE_0001','MENU_0027','Y','27','');</v>
      </c>
    </row>
    <row r="30">
      <c r="A30" s="5" t="s">
        <v>101</v>
      </c>
      <c r="B30" s="5" t="s">
        <v>103</v>
      </c>
      <c r="C30" s="5" t="s">
        <v>96</v>
      </c>
      <c r="D30" s="5">
        <v>28</v>
      </c>
      <c r="E30" s="5"/>
      <c r="G30" s="6" t="str">
        <f t="shared" si="5"/>
        <v xml:space="preserve">INSERT INTO MENU_ROLE VALUES('ROLE_0001','MENU_0028','Y','28','');</v>
      </c>
    </row>
    <row r="31">
      <c r="A31" s="5" t="s">
        <v>101</v>
      </c>
      <c r="B31" s="5" t="s">
        <v>104</v>
      </c>
      <c r="C31" s="5" t="s">
        <v>96</v>
      </c>
      <c r="D31" s="5">
        <v>29</v>
      </c>
      <c r="E31" s="5"/>
      <c r="G31" s="6" t="str">
        <f t="shared" si="5"/>
        <v xml:space="preserve">INSERT INTO MENU_ROLE VALUES('ROLE_0001','MENU_0029','Y','29','');</v>
      </c>
    </row>
    <row r="32">
      <c r="A32" s="5" t="s">
        <v>101</v>
      </c>
      <c r="B32" s="5" t="s">
        <v>88</v>
      </c>
      <c r="C32" s="5" t="s">
        <v>96</v>
      </c>
      <c r="D32" s="5">
        <v>30</v>
      </c>
      <c r="E32" s="5"/>
      <c r="G32" s="6" t="str">
        <f t="shared" si="5"/>
        <v xml:space="preserve">INSERT INTO MENU_ROLE VALUES('ROLE_0001','MENU_0030','Y','30','');</v>
      </c>
    </row>
  </sheetData>
  <mergeCells count="1">
    <mergeCell ref="A1:E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0" activeCellId="0" sqref="C30"/>
    </sheetView>
  </sheetViews>
  <sheetFormatPr defaultRowHeight="16.5"/>
  <cols>
    <col customWidth="1" min="1" max="5" style="1" width="15.625"/>
    <col min="6" max="16384" style="1" width="9"/>
  </cols>
  <sheetData>
    <row r="1" s="2" customFormat="1">
      <c r="A1" s="3" t="s">
        <v>105</v>
      </c>
      <c r="B1" s="3"/>
      <c r="C1" s="3"/>
      <c r="D1" s="3"/>
      <c r="E1" s="3"/>
    </row>
    <row r="2" s="2" customFormat="1">
      <c r="A2" s="4" t="s">
        <v>100</v>
      </c>
      <c r="B2" s="4" t="s">
        <v>106</v>
      </c>
      <c r="C2" s="4" t="s">
        <v>6</v>
      </c>
      <c r="D2" s="4" t="s">
        <v>7</v>
      </c>
      <c r="E2" s="4" t="s">
        <v>8</v>
      </c>
    </row>
    <row r="3">
      <c r="A3" s="5" t="s">
        <v>101</v>
      </c>
      <c r="B3" s="5" t="s">
        <v>107</v>
      </c>
      <c r="C3" s="5" t="s">
        <v>11</v>
      </c>
      <c r="D3" s="5">
        <v>1</v>
      </c>
      <c r="E3" s="5"/>
      <c r="G3" s="6" t="str">
        <f>"INSERT INTO "&amp;$A$1&amp;" VALUES('"&amp;A3&amp;"','"&amp;B3&amp;"','"&amp;C3&amp;"','"&amp;D3&amp;"','"&amp;E3&amp;"');"</f>
        <v xml:space="preserve">INSERT INTO EMP_ROLE VALUES('ROLE_0001','EMP_0001','Y','1','');</v>
      </c>
    </row>
  </sheetData>
  <mergeCells count="1">
    <mergeCell ref="A1:E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6" activeCellId="0" sqref="D26"/>
    </sheetView>
  </sheetViews>
  <sheetFormatPr defaultRowHeight="16.5"/>
  <cols>
    <col customWidth="1" min="1" max="8" style="1" width="15.625"/>
    <col bestFit="1" customWidth="1" min="9" max="9" style="1" width="18.5"/>
    <col customWidth="1" min="10" max="13" style="1" width="15.625"/>
    <col min="14" max="16384" style="1" width="9"/>
  </cols>
  <sheetData>
    <row r="1" s="2" customFormat="1">
      <c r="A1" s="3" t="s">
        <v>108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2" customFormat="1">
      <c r="A2" s="4" t="s">
        <v>106</v>
      </c>
      <c r="B2" s="4" t="s">
        <v>109</v>
      </c>
      <c r="C2" s="4" t="s">
        <v>110</v>
      </c>
      <c r="D2" s="4" t="s">
        <v>111</v>
      </c>
      <c r="E2" s="4" t="s">
        <v>112</v>
      </c>
      <c r="F2" s="4" t="s">
        <v>113</v>
      </c>
      <c r="G2" s="4" t="s">
        <v>114</v>
      </c>
      <c r="H2" s="4" t="s">
        <v>115</v>
      </c>
      <c r="I2" s="4" t="s">
        <v>116</v>
      </c>
      <c r="J2" s="4" t="s">
        <v>117</v>
      </c>
      <c r="K2" s="4" t="s">
        <v>118</v>
      </c>
      <c r="L2" s="4" t="s">
        <v>119</v>
      </c>
      <c r="M2" s="4" t="s">
        <v>120</v>
      </c>
    </row>
    <row r="3">
      <c r="A3" s="5" t="s">
        <v>121</v>
      </c>
      <c r="B3" s="5" t="s">
        <v>122</v>
      </c>
      <c r="C3" s="5" t="s">
        <v>123</v>
      </c>
      <c r="D3" s="5" t="s">
        <v>124</v>
      </c>
      <c r="E3" s="5" t="s">
        <v>11</v>
      </c>
      <c r="F3" s="7" t="s">
        <v>125</v>
      </c>
      <c r="G3" s="5"/>
      <c r="H3" s="5"/>
      <c r="I3" s="5" t="s">
        <v>126</v>
      </c>
      <c r="J3" s="5" t="s">
        <v>124</v>
      </c>
      <c r="K3" s="5" t="s">
        <v>124</v>
      </c>
      <c r="L3" s="5">
        <v>20230814</v>
      </c>
      <c r="M3" s="5"/>
      <c r="O3" s="6" t="str">
        <f>"INSERT INTO "&amp;$A$1&amp;" VALUES('"&amp;A3&amp;"','"&amp;B3&amp;"','"&amp;C3&amp;"','"&amp;D3&amp;"','"&amp;E3&amp;"','"&amp;F3&amp;"','"&amp;G3&amp;"','"&amp;H3&amp;"','"&amp;I3&amp;"','"&amp;J3&amp;"','"&amp;K3&amp;"','"&amp;L3&amp;"','"&amp;M3&amp;"');"</f>
        <v xml:space="preserve">INSERT INTO EMP_INFO VALUES('EMP_0001','ORG_0001','RANK_0001','ADMIN','Y','01077945147','','','jtax90@naver.com','ADMIN','ADMIN','20230814','');</v>
      </c>
    </row>
  </sheetData>
  <mergeCells count="1">
    <mergeCell ref="A1:M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7" activeCellId="0" sqref="D27"/>
    </sheetView>
  </sheetViews>
  <sheetFormatPr defaultRowHeight="16.5"/>
  <cols>
    <col customWidth="1" min="1" max="8" style="1" width="15.625"/>
    <col min="9" max="16384" style="1" width="9"/>
  </cols>
  <sheetData>
    <row r="1" s="2" customFormat="1">
      <c r="A1" s="3" t="s">
        <v>127</v>
      </c>
      <c r="B1" s="3"/>
      <c r="C1" s="3"/>
      <c r="D1" s="3"/>
      <c r="E1" s="3"/>
      <c r="F1" s="3"/>
      <c r="G1" s="3"/>
      <c r="H1" s="3"/>
    </row>
    <row r="2" s="2" customFormat="1">
      <c r="A2" s="4" t="s">
        <v>109</v>
      </c>
      <c r="B2" s="4" t="s">
        <v>128</v>
      </c>
      <c r="C2" s="4" t="s">
        <v>129</v>
      </c>
      <c r="D2" s="4" t="s">
        <v>130</v>
      </c>
      <c r="E2" s="4" t="s">
        <v>131</v>
      </c>
      <c r="F2" s="4" t="s">
        <v>6</v>
      </c>
      <c r="G2" s="4" t="s">
        <v>7</v>
      </c>
      <c r="H2" s="4" t="s">
        <v>8</v>
      </c>
    </row>
    <row r="3">
      <c r="A3" s="5" t="s">
        <v>122</v>
      </c>
      <c r="B3" s="5" t="s">
        <v>132</v>
      </c>
      <c r="C3" s="5"/>
      <c r="D3" s="5">
        <v>20230814</v>
      </c>
      <c r="E3" s="7" t="s">
        <v>133</v>
      </c>
      <c r="F3" s="5" t="s">
        <v>11</v>
      </c>
      <c r="G3" s="5">
        <v>1</v>
      </c>
      <c r="H3" s="5"/>
      <c r="J3" s="6" t="str">
        <f t="shared" ref="J3:J15" si="6">"INSERT INTO "&amp;$A$1&amp;" VALUES('"&amp;A3&amp;"','"&amp;B3&amp;"','"&amp;C3&amp;"','"&amp;D3&amp;"','"&amp;E3&amp;"','"&amp;F3&amp;"','"&amp;G3&amp;"','"&amp;H3&amp;"');"</f>
        <v xml:space="preserve">INSERT INTO ORG VALUES('ORG_0001','관리부','','20230814','000000','Y','1','');</v>
      </c>
    </row>
    <row r="4">
      <c r="A4" s="5" t="s">
        <v>134</v>
      </c>
      <c r="B4" s="5" t="s">
        <v>135</v>
      </c>
      <c r="C4" s="5"/>
      <c r="D4" s="5">
        <v>20230814</v>
      </c>
      <c r="E4" s="7" t="s">
        <v>133</v>
      </c>
      <c r="F4" s="5" t="s">
        <v>11</v>
      </c>
      <c r="G4" s="5">
        <v>2</v>
      </c>
      <c r="H4" s="5"/>
      <c r="J4" s="6" t="str">
        <f t="shared" si="6"/>
        <v xml:space="preserve">INSERT INTO ORG VALUES('ORG_0002','경영지원부','','20230814','000000','Y','2','');</v>
      </c>
    </row>
    <row r="5">
      <c r="A5" s="5" t="s">
        <v>136</v>
      </c>
      <c r="B5" s="5" t="s">
        <v>137</v>
      </c>
      <c r="C5" s="5"/>
      <c r="D5" s="5">
        <v>20230814</v>
      </c>
      <c r="E5" s="7" t="s">
        <v>133</v>
      </c>
      <c r="F5" s="5" t="s">
        <v>11</v>
      </c>
      <c r="G5" s="5">
        <v>3</v>
      </c>
      <c r="H5" s="5"/>
      <c r="J5" s="6" t="str">
        <f t="shared" si="6"/>
        <v xml:space="preserve">INSERT INTO ORG VALUES('ORG_0003','인사부','','20230814','000000','Y','3','');</v>
      </c>
    </row>
    <row r="6">
      <c r="A6" s="5" t="s">
        <v>138</v>
      </c>
      <c r="B6" s="5" t="s">
        <v>139</v>
      </c>
      <c r="C6" s="5"/>
      <c r="D6" s="5">
        <v>20230814</v>
      </c>
      <c r="E6" s="7" t="s">
        <v>133</v>
      </c>
      <c r="F6" s="5" t="s">
        <v>11</v>
      </c>
      <c r="G6" s="5">
        <v>4</v>
      </c>
      <c r="H6" s="5"/>
      <c r="J6" s="6" t="str">
        <f t="shared" si="6"/>
        <v xml:space="preserve">INSERT INTO ORG VALUES('ORG_0004','재무/회계부','','20230814','000000','Y','4','');</v>
      </c>
    </row>
    <row r="7">
      <c r="A7" s="5" t="s">
        <v>140</v>
      </c>
      <c r="B7" s="5" t="s">
        <v>141</v>
      </c>
      <c r="C7" s="5"/>
      <c r="D7" s="5">
        <v>20230814</v>
      </c>
      <c r="E7" s="7" t="s">
        <v>133</v>
      </c>
      <c r="F7" s="5" t="s">
        <v>11</v>
      </c>
      <c r="G7" s="5">
        <v>5</v>
      </c>
      <c r="H7" s="5"/>
      <c r="J7" s="6" t="str">
        <f t="shared" si="6"/>
        <v xml:space="preserve">INSERT INTO ORG VALUES('ORG_0005','마케팅부','','20230814','000000','Y','5','');</v>
      </c>
    </row>
    <row r="8">
      <c r="A8" s="5" t="s">
        <v>142</v>
      </c>
      <c r="B8" s="5" t="s">
        <v>143</v>
      </c>
      <c r="C8" s="5"/>
      <c r="D8" s="5">
        <v>20230814</v>
      </c>
      <c r="E8" s="7" t="s">
        <v>133</v>
      </c>
      <c r="F8" s="5" t="s">
        <v>11</v>
      </c>
      <c r="G8" s="5">
        <v>6</v>
      </c>
      <c r="H8" s="5"/>
      <c r="J8" s="6" t="str">
        <f t="shared" si="6"/>
        <v xml:space="preserve">INSERT INTO ORG VALUES('ORG_0006','영업부','','20230814','000000','Y','6','');</v>
      </c>
    </row>
    <row r="9">
      <c r="A9" s="5" t="s">
        <v>144</v>
      </c>
      <c r="B9" s="5" t="s">
        <v>145</v>
      </c>
      <c r="C9" s="5"/>
      <c r="D9" s="5">
        <v>20230814</v>
      </c>
      <c r="E9" s="7" t="s">
        <v>133</v>
      </c>
      <c r="F9" s="5" t="s">
        <v>11</v>
      </c>
      <c r="G9" s="5">
        <v>7</v>
      </c>
      <c r="H9" s="5"/>
      <c r="J9" s="6" t="str">
        <f t="shared" si="6"/>
        <v xml:space="preserve">INSERT INTO ORG VALUES('ORG_0007','기획부','','20230814','000000','Y','7','');</v>
      </c>
    </row>
    <row r="10">
      <c r="A10" s="5" t="s">
        <v>146</v>
      </c>
      <c r="B10" s="5" t="s">
        <v>147</v>
      </c>
      <c r="C10" s="5"/>
      <c r="D10" s="5">
        <v>20230814</v>
      </c>
      <c r="E10" s="7" t="s">
        <v>133</v>
      </c>
      <c r="F10" s="5" t="s">
        <v>11</v>
      </c>
      <c r="G10" s="5">
        <v>8</v>
      </c>
      <c r="H10" s="5"/>
      <c r="J10" s="6" t="str">
        <f t="shared" si="6"/>
        <v xml:space="preserve">INSERT INTO ORG VALUES('ORG_0008','생산부','','20230814','000000','Y','8','');</v>
      </c>
    </row>
    <row r="11">
      <c r="A11" s="5" t="s">
        <v>148</v>
      </c>
      <c r="B11" s="5" t="s">
        <v>149</v>
      </c>
      <c r="C11" s="5"/>
      <c r="D11" s="5">
        <v>20230814</v>
      </c>
      <c r="E11" s="7" t="s">
        <v>133</v>
      </c>
      <c r="F11" s="5" t="s">
        <v>11</v>
      </c>
      <c r="G11" s="5">
        <v>9</v>
      </c>
      <c r="H11" s="5"/>
      <c r="J11" s="6" t="str">
        <f t="shared" si="6"/>
        <v xml:space="preserve">INSERT INTO ORG VALUES('ORG_0009','연구개발부','','20230814','000000','Y','9','');</v>
      </c>
    </row>
    <row r="12">
      <c r="A12" s="5" t="s">
        <v>150</v>
      </c>
      <c r="B12" s="5" t="s">
        <v>151</v>
      </c>
      <c r="C12" s="5"/>
      <c r="D12" s="5">
        <v>20230814</v>
      </c>
      <c r="E12" s="7" t="s">
        <v>133</v>
      </c>
      <c r="F12" s="5" t="s">
        <v>11</v>
      </c>
      <c r="G12" s="5">
        <v>10</v>
      </c>
      <c r="H12" s="5"/>
      <c r="J12" s="6" t="str">
        <f t="shared" si="6"/>
        <v xml:space="preserve">INSERT INTO ORG VALUES('ORG_0010','고객지원팀','','20230814','000000','Y','10','');</v>
      </c>
    </row>
    <row r="13">
      <c r="A13" s="5" t="s">
        <v>152</v>
      </c>
      <c r="B13" s="5" t="s">
        <v>153</v>
      </c>
      <c r="C13" s="5"/>
      <c r="D13" s="5">
        <v>20230814</v>
      </c>
      <c r="E13" s="7" t="s">
        <v>133</v>
      </c>
      <c r="F13" s="5" t="s">
        <v>11</v>
      </c>
      <c r="G13" s="5">
        <v>11</v>
      </c>
      <c r="H13" s="5"/>
      <c r="J13" s="6" t="str">
        <f t="shared" si="6"/>
        <v xml:space="preserve">INSERT INTO ORG VALUES('ORG_0011','정보시스템팀','','20230814','000000','Y','11','');</v>
      </c>
    </row>
    <row r="14">
      <c r="A14" s="5" t="s">
        <v>154</v>
      </c>
      <c r="B14" s="5" t="s">
        <v>155</v>
      </c>
      <c r="C14" s="5"/>
      <c r="D14" s="5">
        <v>20230814</v>
      </c>
      <c r="E14" s="7" t="s">
        <v>133</v>
      </c>
      <c r="F14" s="5" t="s">
        <v>11</v>
      </c>
      <c r="G14" s="5">
        <v>12</v>
      </c>
      <c r="H14" s="5"/>
      <c r="J14" s="6" t="str">
        <f t="shared" si="6"/>
        <v xml:space="preserve">INSERT INTO ORG VALUES('ORG_0012','품질관리부','','20230814','000000','Y','12','');</v>
      </c>
    </row>
    <row r="15">
      <c r="A15" s="5" t="s">
        <v>156</v>
      </c>
      <c r="B15" s="5" t="s">
        <v>157</v>
      </c>
      <c r="C15" s="5"/>
      <c r="D15" s="5">
        <v>20230814</v>
      </c>
      <c r="E15" s="7" t="s">
        <v>133</v>
      </c>
      <c r="F15" s="5" t="s">
        <v>11</v>
      </c>
      <c r="G15" s="5">
        <v>13</v>
      </c>
      <c r="H15" s="5"/>
      <c r="J15" s="6" t="str">
        <f t="shared" si="6"/>
        <v xml:space="preserve">INSERT INTO ORG VALUES('ORG_0013','법무팀','','20230814','000000','Y','13','');</v>
      </c>
    </row>
  </sheetData>
  <mergeCells count="1">
    <mergeCell ref="A1:H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6" activeCellId="0" sqref="H6"/>
    </sheetView>
  </sheetViews>
  <sheetFormatPr defaultRowHeight="16.5"/>
  <cols>
    <col customWidth="1" min="1" max="7" style="1" width="15.625"/>
    <col min="8" max="16384" style="1" width="9"/>
  </cols>
  <sheetData>
    <row r="1" s="2" customFormat="1">
      <c r="A1" s="3" t="s">
        <v>158</v>
      </c>
      <c r="B1" s="3"/>
      <c r="C1" s="3"/>
      <c r="D1" s="3"/>
      <c r="E1" s="3"/>
      <c r="F1" s="3"/>
      <c r="G1" s="3"/>
    </row>
    <row r="2" s="2" customFormat="1">
      <c r="A2" s="4" t="s">
        <v>110</v>
      </c>
      <c r="B2" s="4" t="s">
        <v>159</v>
      </c>
      <c r="C2" s="4" t="s">
        <v>130</v>
      </c>
      <c r="D2" s="4" t="s">
        <v>131</v>
      </c>
      <c r="E2" s="4" t="s">
        <v>6</v>
      </c>
      <c r="F2" s="4" t="s">
        <v>7</v>
      </c>
      <c r="G2" s="4" t="s">
        <v>8</v>
      </c>
    </row>
    <row r="3">
      <c r="A3" s="5" t="s">
        <v>123</v>
      </c>
      <c r="B3" s="5" t="s">
        <v>160</v>
      </c>
      <c r="C3" s="5">
        <v>20230814</v>
      </c>
      <c r="D3" s="7" t="s">
        <v>133</v>
      </c>
      <c r="E3" s="5" t="s">
        <v>11</v>
      </c>
      <c r="F3" s="5">
        <v>1</v>
      </c>
      <c r="G3" s="5"/>
      <c r="I3" s="6" t="str">
        <f t="shared" ref="I3:I12" si="7">"INSERT INTO "&amp;$A$1&amp;" VALUES('"&amp;A3&amp;"','"&amp;B3&amp;"','"&amp;C3&amp;"','"&amp;D3&amp;"','"&amp;E3&amp;"','"&amp;F3&amp;"','"&amp;G3&amp;"');"</f>
        <v xml:space="preserve">INSERT INTO RANK VALUES('RANK_0001','관리자','20230814','000000','Y','1','');</v>
      </c>
    </row>
    <row r="4">
      <c r="A4" s="5" t="s">
        <v>161</v>
      </c>
      <c r="B4" s="5" t="s">
        <v>162</v>
      </c>
      <c r="C4" s="5">
        <v>20230814</v>
      </c>
      <c r="D4" s="7" t="s">
        <v>133</v>
      </c>
      <c r="E4" s="5" t="s">
        <v>11</v>
      </c>
      <c r="F4" s="5">
        <v>2</v>
      </c>
      <c r="G4" s="5"/>
      <c r="I4" s="6" t="str">
        <f t="shared" si="7"/>
        <v xml:space="preserve">INSERT INTO RANK VALUES('RANK_0002','대표','20230814','000000','Y','2','');</v>
      </c>
    </row>
    <row r="5">
      <c r="A5" s="5" t="s">
        <v>163</v>
      </c>
      <c r="B5" s="5" t="s">
        <v>164</v>
      </c>
      <c r="C5" s="5">
        <v>20230814</v>
      </c>
      <c r="D5" s="7" t="s">
        <v>133</v>
      </c>
      <c r="E5" s="5" t="s">
        <v>11</v>
      </c>
      <c r="F5" s="5">
        <v>3</v>
      </c>
      <c r="G5" s="5"/>
      <c r="I5" s="6" t="str">
        <f t="shared" si="7"/>
        <v xml:space="preserve">INSERT INTO RANK VALUES('RANK_0003','이사','20230814','000000','Y','3','');</v>
      </c>
    </row>
    <row r="6">
      <c r="A6" s="5" t="s">
        <v>165</v>
      </c>
      <c r="B6" s="5" t="s">
        <v>166</v>
      </c>
      <c r="C6" s="5">
        <v>20230814</v>
      </c>
      <c r="D6" s="7" t="s">
        <v>133</v>
      </c>
      <c r="E6" s="5" t="s">
        <v>11</v>
      </c>
      <c r="F6" s="5">
        <v>4</v>
      </c>
      <c r="G6" s="5"/>
      <c r="I6" s="6" t="str">
        <f t="shared" si="7"/>
        <v xml:space="preserve">INSERT INTO RANK VALUES('RANK_0004','팀장','20230814','000000','Y','4','');</v>
      </c>
    </row>
    <row r="7">
      <c r="A7" s="5" t="s">
        <v>167</v>
      </c>
      <c r="B7" s="5" t="s">
        <v>168</v>
      </c>
      <c r="C7" s="5">
        <v>20230814</v>
      </c>
      <c r="D7" s="7" t="s">
        <v>133</v>
      </c>
      <c r="E7" s="5" t="s">
        <v>11</v>
      </c>
      <c r="F7" s="5">
        <v>5</v>
      </c>
      <c r="G7" s="5"/>
      <c r="I7" s="6" t="str">
        <f t="shared" si="7"/>
        <v xml:space="preserve">INSERT INTO RANK VALUES('RANK_0005','부장','20230814','000000','Y','5','');</v>
      </c>
    </row>
    <row r="8">
      <c r="A8" s="5" t="s">
        <v>169</v>
      </c>
      <c r="B8" s="5" t="s">
        <v>170</v>
      </c>
      <c r="C8" s="5">
        <v>20230814</v>
      </c>
      <c r="D8" s="7" t="s">
        <v>133</v>
      </c>
      <c r="E8" s="5" t="s">
        <v>11</v>
      </c>
      <c r="F8" s="5">
        <v>6</v>
      </c>
      <c r="G8" s="5"/>
      <c r="I8" s="6" t="str">
        <f t="shared" si="7"/>
        <v xml:space="preserve">INSERT INTO RANK VALUES('RANK_0006','차장','20230814','000000','Y','6','');</v>
      </c>
    </row>
    <row r="9">
      <c r="A9" s="5" t="s">
        <v>171</v>
      </c>
      <c r="B9" s="5" t="s">
        <v>172</v>
      </c>
      <c r="C9" s="5">
        <v>20230814</v>
      </c>
      <c r="D9" s="7" t="s">
        <v>133</v>
      </c>
      <c r="E9" s="5" t="s">
        <v>11</v>
      </c>
      <c r="F9" s="5">
        <v>7</v>
      </c>
      <c r="G9" s="5"/>
      <c r="I9" s="6" t="str">
        <f t="shared" si="7"/>
        <v xml:space="preserve">INSERT INTO RANK VALUES('RANK_0007','과장','20230814','000000','Y','7','');</v>
      </c>
    </row>
    <row r="10">
      <c r="A10" s="5" t="s">
        <v>173</v>
      </c>
      <c r="B10" s="5" t="s">
        <v>174</v>
      </c>
      <c r="C10" s="5">
        <v>20230814</v>
      </c>
      <c r="D10" s="7" t="s">
        <v>133</v>
      </c>
      <c r="E10" s="5" t="s">
        <v>11</v>
      </c>
      <c r="F10" s="5">
        <v>8</v>
      </c>
      <c r="G10" s="5"/>
      <c r="I10" s="6" t="str">
        <f t="shared" si="7"/>
        <v xml:space="preserve">INSERT INTO RANK VALUES('RANK_0008','대리','20230814','000000','Y','8','');</v>
      </c>
    </row>
    <row r="11">
      <c r="A11" s="5" t="s">
        <v>175</v>
      </c>
      <c r="B11" s="5" t="s">
        <v>176</v>
      </c>
      <c r="C11" s="5">
        <v>20230814</v>
      </c>
      <c r="D11" s="7" t="s">
        <v>133</v>
      </c>
      <c r="E11" s="5" t="s">
        <v>11</v>
      </c>
      <c r="F11" s="5">
        <v>9</v>
      </c>
      <c r="G11" s="5"/>
      <c r="I11" s="6" t="str">
        <f t="shared" si="7"/>
        <v xml:space="preserve">INSERT INTO RANK VALUES('RANK_0009','주임','20230814','000000','Y','9','');</v>
      </c>
    </row>
    <row r="12">
      <c r="A12" s="5" t="s">
        <v>177</v>
      </c>
      <c r="B12" s="5" t="s">
        <v>178</v>
      </c>
      <c r="C12" s="5">
        <v>20230814</v>
      </c>
      <c r="D12" s="7" t="s">
        <v>133</v>
      </c>
      <c r="E12" s="5" t="s">
        <v>11</v>
      </c>
      <c r="F12" s="5">
        <v>10</v>
      </c>
      <c r="G12" s="5"/>
      <c r="I12" s="6" t="str">
        <f t="shared" si="7"/>
        <v xml:space="preserve">INSERT INTO RANK VALUES('RANK_0010','사원','20230814','000000','Y','10','');</v>
      </c>
    </row>
  </sheetData>
  <mergeCells count="1">
    <mergeCell ref="A1:G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C11" activeCellId="0" sqref="C11"/>
    </sheetView>
  </sheetViews>
  <sheetFormatPr defaultRowHeight="14.25"/>
  <cols>
    <col customWidth="1" min="1" max="3" style="8" width="17.625"/>
    <col customWidth="1" min="4" max="4" style="8" width="61.75"/>
    <col customWidth="1" min="5" max="5" style="8" width="17.8515625"/>
    <col bestFit="1" customWidth="1" min="6" max="6" style="8" width="17.875"/>
    <col customWidth="1" min="7" max="9" style="8" width="17.625"/>
    <col min="10" max="16384" style="8" width="9"/>
  </cols>
  <sheetData>
    <row r="1" s="9" customFormat="1">
      <c r="A1" s="10" t="s">
        <v>179</v>
      </c>
      <c r="B1" s="10"/>
      <c r="C1" s="10"/>
      <c r="D1" s="10"/>
      <c r="E1" s="10"/>
      <c r="F1" s="10"/>
      <c r="G1" s="10"/>
      <c r="H1" s="10"/>
      <c r="I1" s="10"/>
    </row>
    <row r="2" s="9" customFormat="1">
      <c r="A2" s="11" t="s">
        <v>180</v>
      </c>
      <c r="B2" s="11" t="s">
        <v>181</v>
      </c>
      <c r="C2" s="11" t="s">
        <v>182</v>
      </c>
      <c r="D2" s="11" t="s">
        <v>183</v>
      </c>
      <c r="E2" s="11" t="s">
        <v>184</v>
      </c>
      <c r="F2" s="11" t="s">
        <v>185</v>
      </c>
      <c r="G2" s="11" t="s">
        <v>6</v>
      </c>
      <c r="H2" s="11" t="s">
        <v>7</v>
      </c>
      <c r="I2" s="11" t="s">
        <v>8</v>
      </c>
    </row>
    <row r="3" ht="16.5" customHeight="1">
      <c r="A3" s="12" t="s">
        <v>186</v>
      </c>
      <c r="B3" s="12" t="s">
        <v>187</v>
      </c>
      <c r="C3" s="12" t="s">
        <v>188</v>
      </c>
      <c r="D3" s="13" t="s">
        <v>189</v>
      </c>
      <c r="E3" s="13" t="s">
        <v>190</v>
      </c>
      <c r="F3" s="12" t="s">
        <v>191</v>
      </c>
      <c r="G3" s="12" t="s">
        <v>11</v>
      </c>
      <c r="H3" s="12">
        <v>1</v>
      </c>
      <c r="I3" s="12"/>
      <c r="J3" s="8"/>
      <c r="K3" s="14" t="str">
        <f>"INSERT INTO "&amp;$A$1&amp;" VALUES('"&amp;A3&amp;"','"&amp;B3&amp;"','"&amp;C3&amp;"','"&amp;D3&amp;"','"&amp;E3&amp;"','"&amp;F3&amp;"','"&amp;G3&amp;"','"&amp;H3&amp;"','"&amp;I3&amp;"');"</f>
        <v xml:space="preserve">INSERT INTO TEMPLATE VALUES('TEMP_0001','휴가 신청서','LEAV','&lt;p style="text-align:center"&gt;&lt;span style="font-size:10pt"&gt;&lt;strong&gt;&lt;span style="font-size:16.0pt"&gt;휴가 신청서&lt;/span&gt;&lt;/strong&gt;&lt;/span&gt;&lt;/p&gt;
&lt;table align="center" cellspacing="0" class="MsoTableGrid" style="border-collapse:collapse; border:none; width:603px"&gt;
	&lt;tbody&gt;
		&lt;tr&gt;
			&lt;td style="border-color:#0d0d0d; border-style:solid; border-width:1px; height:57px; width:200px"&gt;
			&lt;p style="text-align:center"&gt;&lt;span style="font-size:10pt"&gt;소&amp;nbsp; 속&lt;/span&gt;&lt;/p&gt;
			&lt;/td&gt;
			&lt;td colspan="3" style="border-bottom:1px solid #0d0d0d; border-left:none; border-right:1px solid #0d0d0d; border-top:1px solid #0d0d0d; height:57px; width:518px"&gt;
			&lt;p style="text-align:center"&gt;&amp;nbsp;&lt;/p&gt;
			&lt;/td&gt;
		&lt;/tr&gt;
		&lt;tr&gt;
			&lt;td style="border-bottom:1px solid #0d0d0d; border-left:1px solid #0d0d0d; border-right:1px solid #0d0d0d; border-top:none; height:57px; width:200px"&gt;
			&lt;p style="text-align:center"&gt;&lt;span style="font-size:10pt"&gt;성&amp;nbsp; 명&lt;/span&gt;&lt;/p&gt;
			&lt;/td&gt;
			&lt;td style="border-bottom:1px solid #0d0d0d; border-left:none; border-right:1px solid #0d0d0d; border-top:none; height:57px; width:518px"&gt;
			&lt;p style="text-align:center"&gt;&amp;nbsp;&lt;/p&gt;
			&lt;/td&gt;
			&lt;td style="border-bottom:1px solid #0d0d0d; border-left:none; border-right:1px solid #0d0d0d; border-top:none; height:57px; text-align:center; width:200px"&gt;직&amp;nbsp; 급&lt;/td&gt;
			&lt;td style="border-bottom:1px solid #0d0d0d; border-left:none; border-right:1px solid #0d0d0d; border-top:none; height:57px; text-align:center; width:518px"&gt;&amp;nbsp;&lt;/td&gt;
		&lt;/tr&gt;
		&lt;tr&gt;
			&lt;td style="border-bottom:1px solid #0d0d0d; border-left:1px solid #0d0d0d; border-right:1px solid #0d0d0d; border-top:none; height:57px; width:200px"&gt;
			&lt;p style="text-align:center"&gt;&lt;span style="font-size:10pt"&gt;구 &amp;nbsp;분&lt;/span&gt;&lt;/p&gt;
			&lt;/td&gt;
			&lt;td colspan="3" style="border-bottom:1px solid #0d0d0d; border-left:none; border-right:1px solid #0d0d0d; border-top:none; height:57px; width:518px"&gt;
			&lt;p style="text-align:center"&gt;&lt;span style="font-size:10pt"&gt;( ) 연차 ( ) 병가 ( ) 경조휴가 ( ) 반차 ( ) 기타&lt;/span&gt;&lt;/p&gt;
			&lt;/td&gt;
		&lt;/tr&gt;
		&lt;tr&gt;
			&lt;td style="border-bottom:1px solid #0d0d0d; border-left:1px solid #0d0d0d; border-right:1px solid #0d0d0d; border-top:none; height:57px; width:200px"&gt;
			&lt;p style="text-align:center"&gt;&lt;span style="font-size:10pt"&gt;기 &amp;nbsp;간&lt;/span&gt;&lt;/p&gt;
			&lt;/td&gt;
			&lt;td colspan="3" style="border-bottom:1px solid #0d0d0d; border-left:none; border-right:1px solid #0d0d0d; border-top:none; height:57px; width:518px"&gt;
			&lt;p style="text-align:center"&gt;&lt;span style="font-size:10pt"&gt;OOOO년 OO월 OO일 ~ OOOO년 OO월 OO일 (O일간)&lt;/span&gt;&lt;/p&gt;
			&lt;/td&gt;
		&lt;/tr&gt;
		&lt;tr&gt;
			&lt;td style="border-bottom:1px solid #0d0d0d; border-left:1px solid #0d0d0d; border-right:1px solid #0d0d0d; border-top:none; height:57px; width:200px"&gt;&amp;nbsp; &amp;nbsp; &amp;nbsp; 사&amp;nbsp; 유&lt;/td&gt;
			&lt;td colspan="3" style="border-bottom:1px solid #0d0d0d; border-left:none; border-right:1px solid #0d0d0d; border-top:none; height:57px; width:518px"&gt;&amp;nbsp;&lt;/td&gt;
		&lt;/tr&gt;
		&lt;tr&gt;
			&lt;td colspan="4" style="border-bottom:1px solid #0d0d0d; border-left:1px solid #0d0d0d; border-right:1px solid #0d0d0d; border-top:none; height:317px; width:603px"&gt;
			&lt;p style="text-align:center"&gt;&lt;span style="font-size:10pt"&gt;위와 같이 휴가를 신청하오니 허락하여 주시기 바랍니다.&lt;/span&gt;&lt;/p&gt;
			&lt;p style="text-align:center"&gt;&lt;span style="font-size:10pt"&gt;OOOO년 &amp;nbsp;&amp;nbsp;&amp;nbsp;OO월 &amp;nbsp;&amp;nbsp;&amp;nbsp;OO일&lt;/span&gt;&lt;/p&gt;
			&lt;p style="text-align:center"&gt;&amp;nbsp;&lt;/p&gt;
			&lt;p style="margin-left:253px; text-align:center"&gt;&lt;span style="font-size:10pt"&gt;성명 : O&amp;nbsp; O&amp;nbsp; O&amp;nbsp; (인)&lt;/span&gt;&lt;/p&gt;
			&lt;/td&gt;
		&lt;/tr&gt;
	&lt;/tbody&gt;
&lt;/table&gt;','intrAprvInqy1020.do','intrAprvInqy2020.do','Y','1','');</v>
      </c>
    </row>
    <row r="4" ht="16.5" customHeight="1">
      <c r="A4" s="12" t="s">
        <v>192</v>
      </c>
      <c r="B4" s="12" t="s">
        <v>193</v>
      </c>
      <c r="C4" s="12" t="s">
        <v>194</v>
      </c>
      <c r="D4" s="13" t="s">
        <v>195</v>
      </c>
      <c r="E4" s="13" t="s">
        <v>196</v>
      </c>
      <c r="F4" s="12" t="s">
        <v>197</v>
      </c>
      <c r="G4" s="12" t="s">
        <v>11</v>
      </c>
      <c r="H4" s="12">
        <v>2</v>
      </c>
      <c r="I4" s="12"/>
      <c r="J4" s="8"/>
      <c r="K4" s="14" t="str">
        <f>"INSERT INTO "&amp;$A$1&amp;" VALUES('"&amp;A4&amp;"','"&amp;B4&amp;"','"&amp;C4&amp;"','"&amp;D4&amp;"','"&amp;E4&amp;"','"&amp;F4&amp;"','"&amp;G4&amp;"','"&amp;H4&amp;"','"&amp;I4&amp;"');"</f>
        <v xml:space="preserve">INSERT INTO TEMPLATE VALUES('TEMP_0002','가지급결의서','EXP','&lt;p style="text-align:center"&gt;&lt;span style="font-size:10pt"&gt;&lt;strong&gt;&lt;span style="font-size:16.0pt"&gt;가지급결의서&lt;/span&gt;&lt;/strong&gt;&lt;/span&gt;&lt;/p&gt;
&lt;table align="center" cellspacing="0" class="MsoTableGrid" style="border-collapse:collapse; border:none; width:603px"&gt;
	&lt;tbody&gt;
		&lt;tr&gt;
			&lt;td style="border-color:#0d0d0d; border-style:solid; border-width:1px; height:57px; width:200px"&gt;
			&lt;p style="text-align:center"&gt;&lt;span style="font-size:10pt"&gt;소&amp;nbsp; 속&lt;/span&gt;&lt;/p&gt;
			&lt;/td&gt;
			&lt;td colspan="3" style="border-bottom:1px solid #0d0d0d; border-left:none; border-right:1px solid #0d0d0d; border-top:1px solid #0d0d0d; height:57px; width:518px"&gt;
			&lt;p style="text-align:center"&gt;&amp;nbsp;&lt;/p&gt;
			&lt;/td&gt;
		&lt;/tr&gt;
		&lt;tr&gt;
			&lt;td style="border-bottom:1px solid #0d0d0d; border-left:1px solid #0d0d0d; border-right:1px solid #0d0d0d; border-top:none; height:57px; width:200px"&gt;
			&lt;p style="text-align:center"&gt;&lt;span style="font-size:13.3333px"&gt;성&amp;nbsp; 명&lt;/span&gt;&lt;/p&gt;
			&lt;/td&gt;
			&lt;td style="border-bottom:1px solid #0d0d0d; border-left:none; border-right:1px solid #0d0d0d; border-top:none; height:57px; width:518px"&gt;
			&lt;p style="text-align:center"&gt;&amp;nbsp;&lt;/p&gt;
			&lt;/td&gt;
			&lt;td style="border-bottom:1px solid #0d0d0d; border-left:none; border-right:1px solid #0d0d0d; border-top:none; height:57px; text-align:center; width:200px"&gt;직&amp;nbsp; 급&lt;/td&gt;
			&lt;td style="border-bottom:1px solid #0d0d0d; border-left:none; border-right:1px solid #0d0d0d; border-top:none; height:57px; text-align:center; width:518px"&gt;&amp;nbsp;&lt;/td&gt;
		&lt;/tr&gt;
		&lt;tr&gt;
			&lt;td style="border-bottom:1px solid #0d0d0d; border-left:1px solid #0d0d0d; border-right:1px solid #0d0d0d; border-top:none; height:57px; width:200px"&gt;
			&lt;p style="text-align:center"&gt;&lt;span style="font-size:13.3333px"&gt;청구 금액&lt;/span&gt;&lt;/p&gt;
			&lt;/td&gt;
			&lt;td style="border-bottom:1px solid #0d0d0d; border-left:none; border-right:1px solid #0d0d0d; border-top:none; height:57px; width:518px"&gt;
			&lt;p&gt;&lt;span style="font-size:13.3333px"&gt;&amp;nbsp; &amp;nbsp; &amp;nbsp;일금 (\&amp;nbsp; &amp;nbsp; &amp;nbsp; &amp;nbsp; &amp;nbsp; &amp;nbsp; &amp;nbsp; &amp;nbsp; &amp;nbsp; &amp;nbsp; &amp;nbsp; &amp;nbsp;)&lt;/span&gt;&lt;/p&gt;
			&lt;/td&gt;
			&lt;td style="border-bottom:1px solid #0d0d0d; border-left:none; border-right:1px solid #0d0d0d; border-top:none; height:57px; text-align:center; width:200px"&gt;지급 방법&lt;/td&gt;
			&lt;td style="border-bottom:1px solid #0d0d0d; border-left:none; border-right:1px solid #0d0d0d; border-top:none; height:57px; text-align:center; width:518px"&gt;( ) 현금 ( ) 개인카드 ( ) 전도금&lt;/td&gt;
		&lt;/tr&gt;
		&lt;tr&gt;
			&lt;td style="border-bottom:1px solid #0d0d0d; border-left:1px solid #0d0d0d; border-right:1px solid #0d0d0d; border-top:none; height:57px; width:200px"&gt;
			&lt;p style="text-align:center"&gt;&lt;span style="font-size:13.3333px"&gt;지급 일자&lt;/span&gt;&lt;/p&gt;
			&lt;/td&gt;
			&lt;td colspan="3" style="border-bottom:1px solid #0d0d0d; border-left:none; border-right:1px solid #0d0d0d; border-top:none; height:57px; width:518px"&gt;
			&lt;p style="text-align:center"&gt;&lt;span style="font-size:10pt"&gt;OOOO년 OO월 OO일&lt;/span&gt;&lt;/p&gt;
			&lt;/td&gt;
		&lt;/tr&gt;
		&lt;tr&gt;
			&lt;td style="border-bottom:1px solid #0d0d0d; border-left:1px solid #0d0d0d; border-right:1px solid #0d0d0d; border-top:none; height:57px; width:200px"&gt;&amp;nbsp; &amp;nbsp; &amp;nbsp;사&amp;nbsp; 유&lt;/td&gt;
			&lt;td colspan="3" style="border-bottom:1px solid #0d0d0d; border-left:none; border-right:1px solid #0d0d0d; border-top:none; height:57px; text-align:center; width:518px"&gt;&amp;nbsp;&lt;/td&gt;
		&lt;/tr&gt;
		&lt;tr&gt;
			&lt;td colspan="4" style="border-bottom:1px solid #0d0d0d; border-left:1px solid #0d0d0d; border-right:1px solid #0d0d0d; border-top:none; height:317px; width:603px"&gt;
			&lt;p style="text-align:center"&gt;&lt;span style="font-size:10pt"&gt;위의 금액을 정히 청구하오니 지급하여 주십시오.&lt;/span&gt;&lt;/p&gt;
			&lt;p style="text-align:center"&gt;&lt;span style="font-size:10pt"&gt;OOOO년 &amp;nbsp;&amp;nbsp;&amp;nbsp;OO월 &amp;nbsp;&amp;nbsp;&amp;nbsp;OO일&lt;/span&gt;&lt;/p&gt;
			&lt;p style="text-align:center"&gt;&amp;nbsp;&lt;/p&gt;
			&lt;p style="margin-left:253px; text-align:center"&gt;&lt;span style="font-size:10pt"&gt;성명 : O&amp;nbsp; O&amp;nbsp; O&amp;nbsp; (인)&lt;/span&gt;&lt;/p&gt;
			&lt;/td&gt;
		&lt;/tr&gt;
	&lt;/tbody&gt;
&lt;/table&gt;','intrAprvInqy1021.do','intrAprvInqy2021.do','Y','2','');</v>
      </c>
    </row>
    <row r="5" ht="16.5" customHeight="1">
      <c r="A5" s="12" t="s">
        <v>198</v>
      </c>
      <c r="B5" s="12" t="s">
        <v>199</v>
      </c>
      <c r="C5" s="12" t="s">
        <v>200</v>
      </c>
      <c r="D5" s="13" t="s">
        <v>201</v>
      </c>
      <c r="E5" s="13" t="s">
        <v>202</v>
      </c>
      <c r="F5" s="12" t="s">
        <v>203</v>
      </c>
      <c r="G5" s="12" t="s">
        <v>11</v>
      </c>
      <c r="H5" s="12">
        <v>3</v>
      </c>
      <c r="I5" s="12"/>
      <c r="J5" s="8"/>
      <c r="K5" s="14" t="str">
        <f>"INSERT INTO "&amp;$A$1&amp;" VALUES('"&amp;A5&amp;"','"&amp;B5&amp;"','"&amp;C5&amp;"','"&amp;D5&amp;"','"&amp;E5&amp;"','"&amp;F5&amp;"','"&amp;G5&amp;"','"&amp;H5&amp;"','"&amp;I5&amp;"');"</f>
        <v xml:space="preserve">INSERT INTO TEMPLATE VALUES('TEMP_0003','물품반출입 신청서','ITEM','&lt;p style="text-align:center"&gt;&lt;span style="font-size:10pt"&gt;&lt;strong&gt;&lt;span style="font-size:16.0pt"&gt;물품반출입 신청서&lt;/span&gt;&lt;/strong&gt;&lt;/span&gt;&lt;/p&gt;
&lt;table align="center" cellspacing="0" class="MsoTableGrid" style="border-collapse:collapse; border:none; width:603px"&gt;
	&lt;tbody&gt;
		&lt;tr&gt;
			&lt;td style="border-color:#0d0d0d; border-style:solid; border-width:1px; height:57px; width:200px"&gt;
			&lt;p style="text-align:center"&gt;&lt;span style="font-size:10pt"&gt;소&amp;nbsp; 속&lt;/span&gt;&lt;/p&gt;
			&lt;/td&gt;
			&lt;td colspan="3" style="border-bottom:1px solid #0d0d0d; border-left:none; border-right:1px solid #0d0d0d; border-top:1px solid #0d0d0d; height:57px; width:518px"&gt;
			&lt;p style="text-align:center"&gt;&amp;nbsp;&lt;/p&gt;
			&lt;/td&gt;
		&lt;/tr&gt;
		&lt;tr&gt;
			&lt;td style="border-bottom:1px solid #0d0d0d; border-left:1px solid #0d0d0d; border-right:1px solid #0d0d0d; border-top:none; height:57px; width:200px"&gt;
			&lt;p style="text-align:center"&gt;&lt;span style="font-size:13.3333px"&gt;성&amp;nbsp; 명&lt;/span&gt;&lt;/p&gt;
			&lt;/td&gt;
			&lt;td style="border-bottom:1px solid #0d0d0d; border-left:none; border-right:1px solid #0d0d0d; border-top:none; height:57px; width:518px"&gt;
			&lt;p style="text-align:center"&gt;&amp;nbsp;&lt;/p&gt;
			&lt;/td&gt;
			&lt;td style="border-bottom:1px solid #0d0d0d; border-left:none; border-right:1px solid #0d0d0d; border-top:none; height:57px; text-align:center; width:200px"&gt;직&amp;nbsp; 급&lt;/td&gt;
			&lt;td style="border-bottom:1px solid #0d0d0d; border-left:none; border-right:1px solid #0d0d0d; border-top:none; height:57px; text-align:center; width:518px"&gt;&amp;nbsp;&lt;/td&gt;
		&lt;/tr&gt;
		&lt;tr&gt;
			&lt;td style="border-bottom:1px solid #0d0d0d; border-left:1px solid #0d0d0d; border-right:1px solid #0d0d0d; border-top:none; height:57px; width:200px"&gt;
			&lt;p style="text-align:center"&gt;구&amp;nbsp; 분&lt;/p&gt;
			&lt;/td&gt;
			&lt;td style="border-bottom:1px solid #0d0d0d; border-left:none; border-right:1px solid #0d0d0d; border-top:none; height:57px; width:518px"&gt;
			&lt;p style="text-align:center"&gt;&amp;nbsp;&lt;/p&gt;
			&lt;/td&gt;
			&lt;td style="border-bottom:1px solid #0d0d0d; border-left:none; border-right:1px solid #0d0d0d; border-top:none; height:57px; text-align:center; width:200px"&gt;물&amp;nbsp; 품&lt;/td&gt;
			&lt;td style="border-bottom:1px solid #0d0d0d; border-left:none; border-right:1px solid #0d0d0d; border-top:none; height:57px; width:518px"&gt;&amp;nbsp;&lt;/td&gt;
		&lt;/tr&gt;
		&lt;tr&gt;
			&lt;td style="border-bottom:1px solid #0d0d0d; border-left:1px solid #0d0d0d; border-right:1px solid #0d0d0d; border-top:none; height:57px; width:200px"&gt;
			&lt;p style="text-align:center"&gt;&lt;span style="font-size:13.3333px"&gt;반출일&lt;/span&gt;&lt;/p&gt;
			&lt;/td&gt;
			&lt;td colspan="3" style="border-bottom:1px solid #0d0d0d; border-left:none; border-right:1px solid #0d0d0d; border-top:none; height:57px; width:518px"&gt;
			&lt;p style="text-align:center"&gt;&lt;span style="font-size:10pt"&gt;OOOO년 OO월 OO일&lt;/span&gt;&lt;/p&gt;
			&lt;/td&gt;
		&lt;/tr&gt;
		&lt;tr&gt;
			&lt;td style="border-bottom:1px solid #0d0d0d; border-left:1px solid #0d0d0d; border-right:1px solid #0d0d0d; border-top:none; height:57px; width:200px"&gt;&amp;nbsp; &amp;nbsp; &amp;nbsp;사&amp;nbsp; 유&lt;/td&gt;
			&lt;td colspan="3" style="border-bottom:1px solid #0d0d0d; border-left:none; border-right:1px solid #0d0d0d; border-top:none; height:57px; text-align:center; width:518px"&gt;&amp;nbsp;&lt;/td&gt;
		&lt;/tr&gt;
		&lt;tr&gt;
			&lt;td colspan="4" style="border-bottom:1px solid #0d0d0d; border-left:1px solid #0d0d0d; border-right:1px solid #0d0d0d; border-top:none; height:317px; width:603px"&gt;
			&lt;p style="text-align:center"&gt;&lt;span style="font-size:10pt"&gt;위와 같이 물품반출입을 신청하오니 허락하여 주시기 바랍니다.&lt;/span&gt;&lt;/p&gt;
			&lt;p style="text-align:center"&gt;&lt;span style="font-size:10pt"&gt;OOOO년 &amp;nbsp;&amp;nbsp;&amp;nbsp;OO월 &amp;nbsp;&amp;nbsp;&amp;nbsp;OO일&lt;/span&gt;&lt;/p&gt;
			&lt;p style="text-align:center"&gt;&amp;nbsp;&lt;/p&gt;
			&lt;p style="margin-left:253px; text-align:center"&gt;&lt;span style="font-size:10pt"&gt;성명 : O&amp;nbsp; O&amp;nbsp; O&amp;nbsp; (인)&lt;/span&gt;&lt;/p&gt;
			&lt;/td&gt;
		&lt;/tr&gt;
	&lt;/tbody&gt;
&lt;/table&gt;','intrAprvInqy1022.do','intrAprvInqy2022.do','Y','3','');</v>
      </c>
    </row>
    <row r="6" ht="16.5" customHeight="1">
      <c r="A6" s="12" t="s">
        <v>204</v>
      </c>
      <c r="B6" s="12" t="s">
        <v>205</v>
      </c>
      <c r="C6" s="12" t="s">
        <v>206</v>
      </c>
      <c r="D6" s="13" t="s">
        <v>207</v>
      </c>
      <c r="E6" s="13" t="s">
        <v>208</v>
      </c>
      <c r="F6" s="12" t="s">
        <v>209</v>
      </c>
      <c r="G6" s="12" t="s">
        <v>11</v>
      </c>
      <c r="H6" s="12">
        <v>4</v>
      </c>
      <c r="I6" s="12"/>
      <c r="J6" s="8"/>
      <c r="K6" s="14" t="str">
        <f>"INSERT INTO "&amp;$A$1&amp;" VALUES('"&amp;A6&amp;"','"&amp;B6&amp;"','"&amp;C6&amp;"','"&amp;D6&amp;"','"&amp;E6&amp;"','"&amp;F6&amp;"','"&amp;G6&amp;"','"&amp;H6&amp;"','"&amp;I6&amp;"');"</f>
        <v xml:space="preserve">INSERT INTO TEMPLATE VALUES('TEMP_0004','법인카드 정산서','CORP','&lt;p style="text-align:center"&gt;&lt;span style="font-size:10pt"&gt;&lt;strong&gt;&lt;span style="font-size:16.0pt"&gt;법인카드 정산서&lt;/span&gt;&lt;/strong&gt;&lt;/span&gt;&lt;/p&gt;
&lt;table align="center" cellspacing="0" class="MsoTableGrid" style="border-collapse:collapse; border:none; width:603px"&gt;
	&lt;tbody&gt;
		&lt;tr&gt;
			&lt;td style="border-color:#0d0d0d; border-style:solid; border-width:1px; height:57px; width:200px"&gt;
			&lt;p style="text-align:center"&gt;&lt;span style="font-size:10pt"&gt;소&amp;nbsp; 속&lt;/span&gt;&lt;/p&gt;
			&lt;/td&gt;
			&lt;td colspan="3" style="border-bottom:1px solid #0d0d0d; border-left:none; border-right:1px solid #0d0d0d; border-top:1px solid #0d0d0d; height:57px; width:518px"&gt;
			&lt;p style="text-align:center"&gt;&amp;nbsp;&lt;/p&gt;
			&lt;/td&gt;
		&lt;/tr&gt;
		&lt;tr&gt;
			&lt;td style="border-bottom:1px solid #0d0d0d; border-left:1px solid #0d0d0d; border-right:1px solid #0d0d0d; border-top:none; height:57px; width:200px"&gt;
			&lt;p style="text-align:center"&gt;&lt;span style="font-size:13.3333px"&gt;성&amp;nbsp; 함&lt;/span&gt;&lt;/p&gt;
			&lt;/td&gt;
			&lt;td style="border-bottom:1px solid #0d0d0d; border-left:none; border-right:1px solid #0d0d0d; border-top:none; height:57px; width:518px"&gt;
			&lt;p style="text-align:center"&gt;&amp;nbsp;&lt;/p&gt;
			&lt;/td&gt;
			&lt;td style="border-bottom:1px solid #0d0d0d; border-left:none; border-right:1px solid #0d0d0d; border-top:none; height:57px; text-align:center; width:200px"&gt;직&amp;nbsp; 급&lt;/td&gt;
			&lt;td style="border-bottom:1px solid #0d0d0d; border-left:none; border-right:1px solid #0d0d0d; border-top:none; height:57px; text-align:center; width:518px"&gt;&amp;nbsp;&lt;/td&gt;
		&lt;/tr&gt;
		&lt;tr&gt;
			&lt;td style="border-bottom:1px solid #0d0d0d; border-left:1px solid #0d0d0d; border-right:1px solid #0d0d0d; border-top:none; height:57px; width:200px"&gt;
			&lt;p style="text-align:center"&gt;&lt;span style="font-size:13.3333px"&gt;사용 카드&lt;/span&gt;&lt;/p&gt;
			&lt;/td&gt;
			&lt;td colspan="3" rowspan="1" style="border-bottom:1px solid #0d0d0d; border-left:none; border-right:1px solid #0d0d0d; border-top:none; height:57px; width:518px"&gt;
			&lt;p style="text-align:center"&gt;(카드 회사 / 번호)&lt;/p&gt;
			&lt;/td&gt;
		&lt;/tr&gt;
		&lt;tr&gt;
			&lt;td style="border-bottom:1px solid #0d0d0d; border-left:1px solid #0d0d0d; border-right:1px solid #0d0d0d; border-top:none; height:57px; width:200px"&gt;
			&lt;p style="text-align:center"&gt;&lt;span style="font-size:10pt"&gt;사용 기간&lt;/span&gt;&lt;/p&gt;
			&lt;/td&gt;
			&lt;td colspan="3" style="border-bottom:1px solid #0d0d0d; border-left:none; border-right:1px solid #0d0d0d; border-top:none; height:57px; width:518px"&gt;
			&lt;p style="text-align:center"&gt;&lt;span style="font-size:10pt"&gt;OOOO년 OO월 OO일 ~ OOOO년 OO월 OO일&lt;/span&gt;&lt;/p&gt;
			&lt;/td&gt;
		&lt;/tr&gt;
		&lt;tr&gt;
			&lt;td style="border-bottom:1px solid #0d0d0d; border-left:1px solid #0d0d0d; border-right:1px solid #0d0d0d; border-top:none; height:57px; width:200px"&gt;&amp;nbsp; 총 사용금액&lt;/td&gt;
			&lt;td colspan="3" style="border-bottom:1px solid #0d0d0d; border-left:none; border-right:1px solid #0d0d0d; border-top:none; height:57px; text-align:center; width:518px"&gt;(\&amp;nbsp; &amp;nbsp; &amp;nbsp; &amp;nbsp; &amp;nbsp; &amp;nbsp; &amp;nbsp; &amp;nbsp; &amp;nbsp; &amp;nbsp; )&lt;/td&gt;
		&lt;/tr&gt;
		&lt;tr&gt;
			&lt;td colspan="4" style="border-bottom:1px solid #0d0d0d; border-left:1px solid #0d0d0d; border-right:1px solid #0d0d0d; border-top:none; height:317px; width:603px"&gt;
			&lt;p style="text-align:center"&gt;&lt;span style="font-size:10pt"&gt;위와 같이 법인카드 월간 사용금액을 보고하오니 확인하여 주십시오.&lt;/span&gt;&lt;/p&gt;
			&lt;p style="text-align:center"&gt;&lt;span style="font-size:10pt"&gt;OOOO년 &amp;nbsp;&amp;nbsp;&amp;nbsp;OO월 &amp;nbsp;&amp;nbsp;&amp;nbsp;OO일&lt;/span&gt;&lt;/p&gt;
			&lt;p style="text-align:center"&gt;&amp;nbsp;&lt;/p&gt;
			&lt;p style="margin-left:253px; text-align:center"&gt;&lt;span style="font-size:10pt"&gt;성명 : O&amp;nbsp; O&amp;nbsp; O&amp;nbsp; (인)&lt;/span&gt;&lt;/p&gt;
			&lt;/td&gt;
		&lt;/tr&gt;
	&lt;/tbody&gt;
&lt;/table&gt;','intrAprvInqy1023.do','intrAprvInqy2023.do','Y','4','');</v>
      </c>
    </row>
    <row r="7" ht="16.5" customHeight="1"/>
    <row r="9" ht="17.25" customHeight="1"/>
    <row r="10" ht="17.25" customHeight="1"/>
    <row r="12" ht="16.5" customHeight="1"/>
    <row r="14" ht="16.5" customHeight="1"/>
  </sheetData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" zoomScale="100" workbookViewId="0">
      <selection activeCell="H8" activeCellId="0" sqref="H8"/>
    </sheetView>
  </sheetViews>
  <sheetFormatPr defaultRowHeight="13.5"/>
  <cols>
    <col customWidth="1" min="1" max="15" style="8" width="17.625"/>
    <col min="16" max="16384" style="8" width="9"/>
  </cols>
  <sheetData>
    <row r="1" s="9" customFormat="1">
      <c r="A1" s="10" t="s">
        <v>210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="9" customFormat="1">
      <c r="A2" s="11" t="s">
        <v>211</v>
      </c>
      <c r="B2" s="11" t="s">
        <v>212</v>
      </c>
      <c r="C2" s="11" t="s">
        <v>213</v>
      </c>
      <c r="D2" s="11" t="s">
        <v>214</v>
      </c>
      <c r="E2" s="11" t="s">
        <v>215</v>
      </c>
      <c r="F2" s="11" t="s">
        <v>216</v>
      </c>
      <c r="G2" s="11" t="s">
        <v>217</v>
      </c>
      <c r="H2" s="11" t="s">
        <v>218</v>
      </c>
      <c r="I2" s="11" t="s">
        <v>219</v>
      </c>
      <c r="J2" s="11" t="s">
        <v>106</v>
      </c>
      <c r="K2" s="11" t="s">
        <v>130</v>
      </c>
      <c r="L2" s="11" t="s">
        <v>131</v>
      </c>
      <c r="M2" s="11" t="s">
        <v>6</v>
      </c>
      <c r="N2" s="11" t="s">
        <v>7</v>
      </c>
      <c r="O2" s="11" t="s">
        <v>8</v>
      </c>
    </row>
    <row r="3">
      <c r="A3" s="12" t="s">
        <v>220</v>
      </c>
      <c r="B3" s="12" t="s">
        <v>221</v>
      </c>
      <c r="C3" s="12" t="s">
        <v>221</v>
      </c>
      <c r="D3" s="12">
        <v>19900101</v>
      </c>
      <c r="E3" s="12">
        <v>19901231</v>
      </c>
      <c r="F3" s="12" t="s">
        <v>222</v>
      </c>
      <c r="G3" s="12" t="s">
        <v>121</v>
      </c>
      <c r="H3" s="15">
        <v>0</v>
      </c>
      <c r="I3" s="12"/>
      <c r="J3" s="12" t="s">
        <v>121</v>
      </c>
      <c r="K3" s="16" t="s">
        <v>133</v>
      </c>
      <c r="L3" s="16" t="s">
        <v>133</v>
      </c>
      <c r="M3" s="12" t="s">
        <v>11</v>
      </c>
      <c r="N3" s="12">
        <v>1</v>
      </c>
      <c r="O3" s="12"/>
      <c r="Q3" s="14" t="str">
        <f>"INSERT INTO "&amp;$A$1&amp;" VALUES('"&amp;A3&amp;"','"&amp;B3&amp;"','"&amp;C3&amp;"','"&amp;D3&amp;"','"&amp;L3&amp;"','"&amp;M3&amp;"','"&amp;N3&amp;"','"&amp;O3&amp;"');"</f>
        <v xml:space="preserve">INSERT INTO PROJECT VALUES('PROJ_0001','내부 프로젝트','내부 프로젝트','19900101','000000','Y','1','');</v>
      </c>
    </row>
  </sheetData>
  <mergeCells count="1">
    <mergeCell ref="A1:O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8" activeCellId="0" sqref="D18"/>
    </sheetView>
  </sheetViews>
  <sheetFormatPr defaultRowHeight="16.5"/>
  <cols>
    <col customWidth="1" min="1" max="8" style="1" width="17.625"/>
    <col min="9" max="16384" style="1" width="9"/>
  </cols>
  <sheetData>
    <row r="1" s="2" customFormat="1">
      <c r="A1" s="10" t="s">
        <v>223</v>
      </c>
      <c r="B1" s="10"/>
      <c r="C1" s="10"/>
      <c r="D1" s="10"/>
      <c r="E1" s="10"/>
      <c r="F1" s="10"/>
      <c r="G1" s="10"/>
      <c r="H1" s="10"/>
    </row>
    <row r="2" s="2" customFormat="1">
      <c r="A2" s="11" t="s">
        <v>224</v>
      </c>
      <c r="B2" s="11" t="s">
        <v>225</v>
      </c>
      <c r="C2" s="11" t="s">
        <v>226</v>
      </c>
      <c r="D2" s="11" t="s">
        <v>130</v>
      </c>
      <c r="E2" s="11" t="s">
        <v>131</v>
      </c>
      <c r="F2" s="11" t="s">
        <v>6</v>
      </c>
      <c r="G2" s="11" t="s">
        <v>7</v>
      </c>
      <c r="H2" s="11" t="s">
        <v>8</v>
      </c>
    </row>
    <row r="3">
      <c r="A3" s="12" t="s">
        <v>227</v>
      </c>
      <c r="B3" s="12" t="s">
        <v>96</v>
      </c>
      <c r="C3" s="12" t="s">
        <v>228</v>
      </c>
      <c r="D3" s="12">
        <v>20250520</v>
      </c>
      <c r="E3" s="12">
        <v>80516</v>
      </c>
      <c r="F3" s="12" t="s">
        <v>11</v>
      </c>
      <c r="G3" s="12">
        <v>1</v>
      </c>
      <c r="H3" s="12"/>
      <c r="J3" s="6" t="str">
        <f t="shared" ref="J3:J23" si="8">"INSERT INTO "&amp;$A$1&amp;" VALUES('"&amp;A3&amp;"','"&amp;B3&amp;"','"&amp;C3&amp;"','"&amp;D3&amp;"','"&amp;E3&amp;"','"&amp;F3&amp;"','"&amp;G3&amp;"','"&amp;H3&amp;"');"</f>
        <v xml:space="preserve">INSERT INTO COMMCODE VALUES('HIRE_0010','Y','HIRE','20250520','80516','Y','1','');</v>
      </c>
    </row>
    <row r="4">
      <c r="A4" s="12" t="s">
        <v>229</v>
      </c>
      <c r="B4" s="12" t="s">
        <v>230</v>
      </c>
      <c r="C4" s="12" t="s">
        <v>228</v>
      </c>
      <c r="D4" s="12">
        <v>20250520</v>
      </c>
      <c r="E4" s="12">
        <v>80525</v>
      </c>
      <c r="F4" s="12" t="s">
        <v>11</v>
      </c>
      <c r="G4" s="12">
        <v>2</v>
      </c>
      <c r="H4" s="12"/>
      <c r="J4" s="6" t="str">
        <f t="shared" si="8"/>
        <v xml:space="preserve">INSERT INTO COMMCODE VALUES('HIRE_0020','N','HIRE','20250520','80525','Y','2','');</v>
      </c>
    </row>
    <row r="5">
      <c r="A5" s="12" t="s">
        <v>231</v>
      </c>
      <c r="B5" s="12" t="s">
        <v>232</v>
      </c>
      <c r="C5" s="12" t="s">
        <v>233</v>
      </c>
      <c r="D5" s="12">
        <v>20250520</v>
      </c>
      <c r="E5" s="12">
        <v>80525</v>
      </c>
      <c r="F5" s="12" t="s">
        <v>11</v>
      </c>
      <c r="G5" s="12">
        <v>1</v>
      </c>
      <c r="H5" s="12"/>
      <c r="J5" s="6" t="str">
        <f t="shared" si="8"/>
        <v xml:space="preserve">INSERT INTO COMMCODE VALUES('STAT_0010','진행','STAT','20250520','80525','Y','1','');</v>
      </c>
    </row>
    <row r="6">
      <c r="A6" s="12" t="s">
        <v>234</v>
      </c>
      <c r="B6" s="12" t="s">
        <v>235</v>
      </c>
      <c r="C6" s="12" t="s">
        <v>236</v>
      </c>
      <c r="D6" s="12">
        <v>20250520</v>
      </c>
      <c r="E6" s="12">
        <v>80525</v>
      </c>
      <c r="F6" s="12" t="s">
        <v>11</v>
      </c>
      <c r="G6" s="12">
        <v>2</v>
      </c>
      <c r="H6" s="12"/>
      <c r="J6" s="6" t="str">
        <f t="shared" si="8"/>
        <v xml:space="preserve">INSERT INTO COMMCODE VALUES('STAT_0020','완료','STAT','20250520','80525','Y','2','');</v>
      </c>
    </row>
    <row r="7">
      <c r="A7" s="12" t="s">
        <v>237</v>
      </c>
      <c r="B7" s="12" t="s">
        <v>238</v>
      </c>
      <c r="C7" s="12" t="s">
        <v>236</v>
      </c>
      <c r="D7" s="12">
        <v>20250520</v>
      </c>
      <c r="E7" s="12">
        <v>80525</v>
      </c>
      <c r="F7" s="12" t="s">
        <v>11</v>
      </c>
      <c r="G7" s="12">
        <v>3</v>
      </c>
      <c r="H7" s="12"/>
      <c r="J7" s="6" t="str">
        <f t="shared" si="8"/>
        <v xml:space="preserve">INSERT INTO COMMCODE VALUES('STAT_0030','보류','STAT','20250520','80525','Y','3','');</v>
      </c>
    </row>
    <row r="8">
      <c r="A8" s="12" t="s">
        <v>239</v>
      </c>
      <c r="B8" s="12" t="s">
        <v>240</v>
      </c>
      <c r="C8" s="12" t="s">
        <v>241</v>
      </c>
      <c r="D8" s="12">
        <v>20250520</v>
      </c>
      <c r="E8" s="12">
        <v>80525</v>
      </c>
      <c r="F8" s="12" t="s">
        <v>11</v>
      </c>
      <c r="G8" s="12">
        <v>1</v>
      </c>
      <c r="H8" s="12"/>
      <c r="J8" s="6" t="str">
        <f t="shared" si="8"/>
        <v xml:space="preserve">INSERT INTO COMMCODE VALUES('LEAV_0010','연차','LEAV','20250520','80525','Y','1','');</v>
      </c>
    </row>
    <row r="9">
      <c r="A9" s="12" t="s">
        <v>242</v>
      </c>
      <c r="B9" s="12" t="s">
        <v>243</v>
      </c>
      <c r="C9" s="12" t="s">
        <v>241</v>
      </c>
      <c r="D9" s="12">
        <v>20250520</v>
      </c>
      <c r="E9" s="12">
        <v>80525</v>
      </c>
      <c r="F9" s="12" t="s">
        <v>11</v>
      </c>
      <c r="G9" s="12">
        <v>2</v>
      </c>
      <c r="H9" s="12"/>
      <c r="J9" s="6" t="str">
        <f t="shared" si="8"/>
        <v xml:space="preserve">INSERT INTO COMMCODE VALUES('LEAV_0020','병가','LEAV','20250520','80525','Y','2','');</v>
      </c>
    </row>
    <row r="10">
      <c r="A10" s="12" t="s">
        <v>244</v>
      </c>
      <c r="B10" s="12" t="s">
        <v>245</v>
      </c>
      <c r="C10" s="12" t="s">
        <v>241</v>
      </c>
      <c r="D10" s="12">
        <v>20250520</v>
      </c>
      <c r="E10" s="12">
        <v>80525</v>
      </c>
      <c r="F10" s="12" t="s">
        <v>11</v>
      </c>
      <c r="G10" s="12">
        <v>3</v>
      </c>
      <c r="H10" s="12"/>
      <c r="J10" s="6" t="str">
        <f t="shared" si="8"/>
        <v xml:space="preserve">INSERT INTO COMMCODE VALUES('LEAV_0030','경조휴가','LEAV','20250520','80525','Y','3','');</v>
      </c>
    </row>
    <row r="11">
      <c r="A11" s="12" t="s">
        <v>246</v>
      </c>
      <c r="B11" s="12" t="s">
        <v>247</v>
      </c>
      <c r="C11" s="12" t="s">
        <v>241</v>
      </c>
      <c r="D11" s="12">
        <v>20250520</v>
      </c>
      <c r="E11" s="12">
        <v>80525</v>
      </c>
      <c r="F11" s="12" t="s">
        <v>11</v>
      </c>
      <c r="G11" s="12">
        <v>4</v>
      </c>
      <c r="H11" s="12"/>
      <c r="J11" s="6" t="str">
        <f t="shared" si="8"/>
        <v xml:space="preserve">INSERT INTO COMMCODE VALUES('LEAV_0040','반차','LEAV','20250520','80525','Y','4','');</v>
      </c>
    </row>
    <row r="12">
      <c r="A12" s="12" t="s">
        <v>248</v>
      </c>
      <c r="B12" s="12" t="s">
        <v>249</v>
      </c>
      <c r="C12" s="12" t="s">
        <v>241</v>
      </c>
      <c r="D12" s="12">
        <v>20250520</v>
      </c>
      <c r="E12" s="12">
        <v>80525</v>
      </c>
      <c r="F12" s="12" t="s">
        <v>11</v>
      </c>
      <c r="G12" s="12">
        <v>5</v>
      </c>
      <c r="H12" s="12"/>
      <c r="J12" s="6" t="str">
        <f t="shared" si="8"/>
        <v xml:space="preserve">INSERT INTO COMMCODE VALUES('LEAV_0050','기타','LEAV','20250520','80525','Y','5','');</v>
      </c>
    </row>
    <row r="13">
      <c r="A13" s="12" t="s">
        <v>250</v>
      </c>
      <c r="B13" s="12" t="s">
        <v>251</v>
      </c>
      <c r="C13" s="12" t="s">
        <v>252</v>
      </c>
      <c r="D13" s="12">
        <v>20250520</v>
      </c>
      <c r="E13" s="12">
        <v>80525</v>
      </c>
      <c r="F13" s="12" t="s">
        <v>11</v>
      </c>
      <c r="G13" s="12">
        <v>1</v>
      </c>
      <c r="H13" s="12"/>
      <c r="J13" s="6" t="str">
        <f t="shared" si="8"/>
        <v xml:space="preserve">INSERT INTO COMMCODE VALUES('PAY_0010','현금','PAY','20250520','80525','Y','1','');</v>
      </c>
    </row>
    <row r="14">
      <c r="A14" s="12" t="s">
        <v>253</v>
      </c>
      <c r="B14" s="12" t="s">
        <v>254</v>
      </c>
      <c r="C14" s="12" t="s">
        <v>252</v>
      </c>
      <c r="D14" s="12">
        <v>20250520</v>
      </c>
      <c r="E14" s="12">
        <v>80525</v>
      </c>
      <c r="F14" s="12" t="s">
        <v>11</v>
      </c>
      <c r="G14" s="12">
        <v>2</v>
      </c>
      <c r="H14" s="12"/>
      <c r="J14" s="6" t="str">
        <f t="shared" si="8"/>
        <v xml:space="preserve">INSERT INTO COMMCODE VALUES('PAY_0020','개인카드','PAY','20250520','80525','Y','2','');</v>
      </c>
    </row>
    <row r="15">
      <c r="A15" s="12" t="s">
        <v>255</v>
      </c>
      <c r="B15" s="12" t="s">
        <v>256</v>
      </c>
      <c r="C15" s="12" t="s">
        <v>252</v>
      </c>
      <c r="D15" s="12">
        <v>20250520</v>
      </c>
      <c r="E15" s="12">
        <v>80525</v>
      </c>
      <c r="F15" s="12" t="s">
        <v>11</v>
      </c>
      <c r="G15" s="12">
        <v>3</v>
      </c>
      <c r="H15" s="12"/>
      <c r="J15" s="6" t="str">
        <f t="shared" si="8"/>
        <v xml:space="preserve">INSERT INTO COMMCODE VALUES('PAY_0030','전도금','PAY','20250520','80525','Y','3','');</v>
      </c>
    </row>
    <row r="16">
      <c r="A16" s="12" t="s">
        <v>257</v>
      </c>
      <c r="B16" s="12" t="s">
        <v>258</v>
      </c>
      <c r="C16" s="12" t="s">
        <v>259</v>
      </c>
      <c r="D16" s="12">
        <v>20250520</v>
      </c>
      <c r="E16" s="12">
        <v>80525</v>
      </c>
      <c r="F16" s="12" t="s">
        <v>11</v>
      </c>
      <c r="G16" s="12">
        <v>1</v>
      </c>
      <c r="H16" s="12"/>
      <c r="J16" s="6" t="str">
        <f t="shared" si="8"/>
        <v xml:space="preserve">INSERT INTO COMMCODE VALUES('TYPE_0010','기안','TYPE','20250520','80525','Y','1','');</v>
      </c>
    </row>
    <row r="17">
      <c r="A17" s="12" t="s">
        <v>260</v>
      </c>
      <c r="B17" s="12" t="s">
        <v>261</v>
      </c>
      <c r="C17" s="12" t="s">
        <v>259</v>
      </c>
      <c r="D17" s="12">
        <v>20250520</v>
      </c>
      <c r="E17" s="12">
        <v>80525</v>
      </c>
      <c r="F17" s="12" t="s">
        <v>11</v>
      </c>
      <c r="G17" s="12">
        <v>2</v>
      </c>
      <c r="H17" s="12"/>
      <c r="J17" s="6" t="str">
        <f t="shared" si="8"/>
        <v xml:space="preserve">INSERT INTO COMMCODE VALUES('TYPE_0020','결재','TYPE','20250520','80525','Y','2','');</v>
      </c>
    </row>
    <row r="18">
      <c r="A18" s="12" t="s">
        <v>262</v>
      </c>
      <c r="B18" s="12" t="s">
        <v>263</v>
      </c>
      <c r="C18" s="12" t="s">
        <v>259</v>
      </c>
      <c r="D18" s="12">
        <v>20250520</v>
      </c>
      <c r="E18" s="12">
        <v>80525</v>
      </c>
      <c r="F18" s="12" t="s">
        <v>11</v>
      </c>
      <c r="G18" s="12">
        <v>3</v>
      </c>
      <c r="H18" s="12"/>
      <c r="J18" s="6" t="str">
        <f t="shared" si="8"/>
        <v xml:space="preserve">INSERT INTO COMMCODE VALUES('TYPE_0030','참조','TYPE','20250520','80525','Y','3','');</v>
      </c>
    </row>
    <row r="19">
      <c r="A19" s="12" t="s">
        <v>264</v>
      </c>
      <c r="B19" s="12" t="s">
        <v>265</v>
      </c>
      <c r="C19" s="12" t="s">
        <v>266</v>
      </c>
      <c r="D19" s="12">
        <v>20250520</v>
      </c>
      <c r="E19" s="12">
        <v>80525</v>
      </c>
      <c r="F19" s="12" t="s">
        <v>11</v>
      </c>
      <c r="G19" s="12">
        <v>1</v>
      </c>
      <c r="H19" s="12"/>
      <c r="J19" s="6" t="str">
        <f t="shared" si="8"/>
        <v xml:space="preserve">INSERT INTO COMMCODE VALUES('REQ_0010','반입','REQ','20250520','80525','Y','1','');</v>
      </c>
    </row>
    <row r="20">
      <c r="A20" s="12" t="s">
        <v>267</v>
      </c>
      <c r="B20" s="12" t="s">
        <v>268</v>
      </c>
      <c r="C20" s="12" t="s">
        <v>266</v>
      </c>
      <c r="D20" s="12">
        <v>20250520</v>
      </c>
      <c r="E20" s="12">
        <v>80525</v>
      </c>
      <c r="F20" s="12" t="s">
        <v>11</v>
      </c>
      <c r="G20" s="12">
        <v>2</v>
      </c>
      <c r="H20" s="12"/>
      <c r="J20" s="6" t="str">
        <f t="shared" si="8"/>
        <v xml:space="preserve">INSERT INTO COMMCODE VALUES('REQ_0020','반출','REQ','20250520','80525','Y','2','');</v>
      </c>
    </row>
    <row r="21">
      <c r="A21" s="12" t="s">
        <v>269</v>
      </c>
      <c r="B21" s="12" t="s">
        <v>270</v>
      </c>
      <c r="C21" s="12" t="s">
        <v>271</v>
      </c>
      <c r="D21" s="12">
        <v>20250520</v>
      </c>
      <c r="E21" s="12">
        <v>80525</v>
      </c>
      <c r="F21" s="12" t="s">
        <v>11</v>
      </c>
      <c r="G21" s="12">
        <v>1</v>
      </c>
      <c r="H21" s="12"/>
      <c r="J21" s="6" t="str">
        <f t="shared" si="8"/>
        <v xml:space="preserve">INSERT INTO COMMCODE VALUES('STEP_0010','결재진행중','STEP','20250520','80525','Y','1','');</v>
      </c>
    </row>
    <row r="22">
      <c r="A22" s="12" t="s">
        <v>272</v>
      </c>
      <c r="B22" s="12" t="s">
        <v>273</v>
      </c>
      <c r="C22" s="12" t="s">
        <v>271</v>
      </c>
      <c r="D22" s="12">
        <v>20250520</v>
      </c>
      <c r="E22" s="12">
        <v>80525</v>
      </c>
      <c r="F22" s="12" t="s">
        <v>11</v>
      </c>
      <c r="G22" s="12">
        <v>2</v>
      </c>
      <c r="H22" s="12"/>
      <c r="J22" s="6" t="str">
        <f t="shared" si="8"/>
        <v xml:space="preserve">INSERT INTO COMMCODE VALUES('STEP_0020','결재완료','STEP','20250520','80525','Y','2','');</v>
      </c>
    </row>
    <row r="23">
      <c r="A23" s="12" t="s">
        <v>274</v>
      </c>
      <c r="B23" s="12" t="s">
        <v>275</v>
      </c>
      <c r="C23" s="12" t="s">
        <v>271</v>
      </c>
      <c r="D23" s="12">
        <v>20250520</v>
      </c>
      <c r="E23" s="12">
        <v>80525</v>
      </c>
      <c r="F23" s="12" t="s">
        <v>11</v>
      </c>
      <c r="G23" s="12">
        <v>3</v>
      </c>
      <c r="H23" s="12"/>
      <c r="J23" s="6" t="str">
        <f t="shared" si="8"/>
        <v xml:space="preserve">INSERT INTO COMMCODE VALUES('STEP_0030','결재반송','STEP','20250520','80525','Y','3','');</v>
      </c>
    </row>
    <row r="24">
      <c r="A24" s="12" t="s">
        <v>276</v>
      </c>
      <c r="B24" s="12" t="s">
        <v>277</v>
      </c>
      <c r="C24" s="12" t="s">
        <v>271</v>
      </c>
      <c r="D24" s="12">
        <v>20250520</v>
      </c>
      <c r="E24" s="12">
        <v>80525</v>
      </c>
      <c r="F24" s="12" t="s">
        <v>11</v>
      </c>
      <c r="G24" s="12">
        <v>4</v>
      </c>
      <c r="H24" s="12"/>
      <c r="J24" s="6" t="str">
        <f t="shared" ref="J24:J30" si="9">"INSERT INTO "&amp;$A$1&amp;" VALUES('"&amp;A24&amp;"','"&amp;B24&amp;"','"&amp;C24&amp;"','"&amp;D24&amp;"','"&amp;E24&amp;"','"&amp;F24&amp;"','"&amp;G24&amp;"','"&amp;H24&amp;"');"</f>
        <v xml:space="preserve">INSERT INTO COMMCODE VALUES('STEP_0040','결재취소','STEP','20250520','80525','Y','4','');</v>
      </c>
    </row>
    <row r="25">
      <c r="A25" s="12" t="s">
        <v>278</v>
      </c>
      <c r="B25" s="12" t="s">
        <v>279</v>
      </c>
      <c r="C25" s="12" t="s">
        <v>280</v>
      </c>
      <c r="D25" s="12">
        <v>20250520</v>
      </c>
      <c r="E25" s="12">
        <v>80525</v>
      </c>
      <c r="F25" s="12" t="s">
        <v>11</v>
      </c>
      <c r="G25" s="12">
        <v>1</v>
      </c>
      <c r="H25" s="12"/>
      <c r="J25" s="6" t="str">
        <f t="shared" si="9"/>
        <v xml:space="preserve">INSERT INTO COMMCODE VALUES('RSLT_0010','승인','RSLT','20250520','80525','Y','1','');</v>
      </c>
    </row>
    <row r="26">
      <c r="A26" s="12" t="s">
        <v>281</v>
      </c>
      <c r="B26" s="12" t="s">
        <v>282</v>
      </c>
      <c r="C26" s="12" t="s">
        <v>280</v>
      </c>
      <c r="D26" s="12">
        <v>20250520</v>
      </c>
      <c r="E26" s="12">
        <v>80525</v>
      </c>
      <c r="F26" s="12" t="s">
        <v>11</v>
      </c>
      <c r="G26" s="12">
        <v>2</v>
      </c>
      <c r="H26" s="12"/>
      <c r="J26" s="6" t="str">
        <f t="shared" si="9"/>
        <v xml:space="preserve">INSERT INTO COMMCODE VALUES('RSLT_0020','반송','RSLT','20250520','80525','Y','2','');</v>
      </c>
    </row>
    <row r="27">
      <c r="A27" s="12" t="s">
        <v>283</v>
      </c>
      <c r="B27" s="12" t="s">
        <v>284</v>
      </c>
      <c r="C27" s="12" t="s">
        <v>280</v>
      </c>
      <c r="D27" s="12">
        <v>20250520</v>
      </c>
      <c r="E27" s="12">
        <v>80525</v>
      </c>
      <c r="F27" s="12" t="s">
        <v>11</v>
      </c>
      <c r="G27" s="12">
        <v>3</v>
      </c>
      <c r="H27" s="12"/>
      <c r="J27" s="6" t="str">
        <f t="shared" si="9"/>
        <v xml:space="preserve">INSERT INTO COMMCODE VALUES('RSLT_0030','취소','RSLT','20250520','80525','Y','3','');</v>
      </c>
    </row>
    <row r="28">
      <c r="A28" s="12" t="s">
        <v>285</v>
      </c>
      <c r="B28" s="12" t="s">
        <v>286</v>
      </c>
      <c r="C28" s="12" t="s">
        <v>287</v>
      </c>
      <c r="D28" s="12">
        <v>20250520</v>
      </c>
      <c r="E28" s="12">
        <v>80525</v>
      </c>
      <c r="F28" s="12" t="s">
        <v>11</v>
      </c>
      <c r="G28" s="12">
        <v>1</v>
      </c>
      <c r="H28" s="12"/>
      <c r="J28" s="6" t="str">
        <f t="shared" si="9"/>
        <v xml:space="preserve">INSERT INTO COMMCODE VALUES('LOC_0010','회의실 (대)','LOC','20250520','80525','Y','1','');</v>
      </c>
    </row>
    <row r="29">
      <c r="A29" s="12" t="s">
        <v>288</v>
      </c>
      <c r="B29" s="12" t="s">
        <v>289</v>
      </c>
      <c r="C29" s="12" t="s">
        <v>287</v>
      </c>
      <c r="D29" s="12">
        <v>20250520</v>
      </c>
      <c r="E29" s="12">
        <v>80525</v>
      </c>
      <c r="F29" s="12" t="s">
        <v>11</v>
      </c>
      <c r="G29" s="12">
        <v>2</v>
      </c>
      <c r="H29" s="12"/>
      <c r="J29" s="6" t="str">
        <f t="shared" si="9"/>
        <v xml:space="preserve">INSERT INTO COMMCODE VALUES('LOC_0020','회의실 (중)','LOC','20250520','80525','Y','2','');</v>
      </c>
    </row>
    <row r="30">
      <c r="A30" s="12" t="s">
        <v>290</v>
      </c>
      <c r="B30" s="12" t="s">
        <v>291</v>
      </c>
      <c r="C30" s="12" t="s">
        <v>287</v>
      </c>
      <c r="D30" s="12">
        <v>20250520</v>
      </c>
      <c r="E30" s="12">
        <v>80525</v>
      </c>
      <c r="F30" s="12" t="s">
        <v>11</v>
      </c>
      <c r="G30" s="12">
        <v>3</v>
      </c>
      <c r="H30" s="12"/>
      <c r="J30" s="6" t="str">
        <f t="shared" si="9"/>
        <v xml:space="preserve">INSERT INTO COMMCODE VALUES('LOC_0030','회의실 (소)','LOC','20250520','80525','Y','3','');</v>
      </c>
    </row>
  </sheetData>
  <mergeCells count="1">
    <mergeCell ref="A1:H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KNN</dc:creator>
  <cp:revision>1</cp:revision>
  <dcterms:created xsi:type="dcterms:W3CDTF">2022-11-30T12:49:13Z</dcterms:created>
  <dcterms:modified xsi:type="dcterms:W3CDTF">2026-08-04T13:37:38Z</dcterms:modified>
</cp:coreProperties>
</file>